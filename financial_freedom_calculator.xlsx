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6" autoFilterDateGrouping="1"/>
  </bookViews>
  <sheets>
    <sheet xmlns:r="http://schemas.openxmlformats.org/officeDocument/2006/relationships" name="📊 Dashboard" sheetId="1" state="visible" r:id="rId1"/>
    <sheet xmlns:r="http://schemas.openxmlformats.org/officeDocument/2006/relationships" name="Profile" sheetId="2" state="visible" r:id="rId2"/>
    <sheet xmlns:r="http://schemas.openxmlformats.org/officeDocument/2006/relationships" name="Income &amp; Spend" sheetId="3" state="visible" r:id="rId3"/>
    <sheet xmlns:r="http://schemas.openxmlformats.org/officeDocument/2006/relationships" name="Assets &amp; Liabilities" sheetId="4" state="visible" r:id="rId4"/>
    <sheet xmlns:r="http://schemas.openxmlformats.org/officeDocument/2006/relationships" name="Investments" sheetId="5" state="visible" r:id="rId5"/>
    <sheet xmlns:r="http://schemas.openxmlformats.org/officeDocument/2006/relationships" name="Life Events" sheetId="6" state="visible" r:id="rId6"/>
    <sheet xmlns:r="http://schemas.openxmlformats.org/officeDocument/2006/relationships" name="Projections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\₹#,##0;&quot;(₹&quot;#,##0\);\-"/>
    <numFmt numFmtId="165" formatCode="0&quot; yrs&quot;"/>
    <numFmt numFmtId="166" formatCode="0&quot; yrs old&quot;"/>
    <numFmt numFmtId="167" formatCode="0.0%"/>
    <numFmt numFmtId="168" formatCode="#,##0;\(#,##0\);\-"/>
    <numFmt numFmtId="169" formatCode="0.0%;\-0.0%;\-"/>
    <numFmt numFmtId="170" formatCode="0&quot; yrs&quot;;\(0&quot; yrs)&quot;;\-"/>
    <numFmt numFmtId="171" formatCode="0.000"/>
    <numFmt numFmtId="172" formatCode="0.00%;\-0.00%;\-"/>
  </numFmts>
  <fonts count="4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C9A84C"/>
      <sz val="18"/>
    </font>
    <font>
      <name val="Arial"/>
      <charset val="1"/>
      <family val="0"/>
      <i val="1"/>
      <color rgb="FF6B7A99"/>
      <sz val="10"/>
    </font>
    <font>
      <name val="Arial"/>
      <charset val="1"/>
      <family val="0"/>
      <b val="1"/>
      <color rgb="FFA0AEC0"/>
      <sz val="9"/>
    </font>
    <font>
      <name val="Arial"/>
      <charset val="1"/>
      <family val="0"/>
      <b val="1"/>
      <color rgb="FFC9A84C"/>
      <sz val="13"/>
    </font>
    <font>
      <name val="Arial"/>
      <charset val="1"/>
      <family val="0"/>
      <i val="1"/>
      <color rgb="FF6B7A99"/>
      <sz val="8"/>
    </font>
    <font>
      <name val="Arial"/>
      <charset val="1"/>
      <family val="0"/>
      <b val="1"/>
      <color rgb="FFC9A84C"/>
      <sz val="10"/>
    </font>
    <font>
      <name val="Arial"/>
      <charset val="1"/>
      <family val="0"/>
      <color rgb="FF2D3748"/>
      <sz val="10"/>
    </font>
    <font>
      <name val="Arial"/>
      <charset val="1"/>
      <family val="0"/>
      <color rgb="FF1A365D"/>
      <sz val="10"/>
    </font>
    <font>
      <name val="Arial"/>
      <charset val="1"/>
      <family val="0"/>
      <color rgb="FFF56565"/>
      <sz val="10"/>
    </font>
    <font>
      <name val="Arial"/>
      <charset val="1"/>
      <family val="0"/>
      <b val="1"/>
      <color rgb="FF3ECF8E"/>
      <sz val="10"/>
    </font>
    <font>
      <name val="Arial"/>
      <charset val="1"/>
      <family val="0"/>
      <b val="1"/>
      <color rgb="FF1A365D"/>
      <sz val="10"/>
    </font>
    <font>
      <name val="Arial"/>
      <charset val="1"/>
      <family val="0"/>
      <b val="1"/>
      <color rgb="FF7B4F00"/>
      <sz val="10"/>
    </font>
    <font>
      <name val="Arial"/>
      <charset val="1"/>
      <family val="0"/>
      <color rgb="FF5D4037"/>
      <sz val="10"/>
    </font>
    <font>
      <name val="Arial"/>
      <charset val="1"/>
      <family val="0"/>
      <b val="1"/>
      <color rgb="FFC9A84C"/>
      <sz val="9"/>
    </font>
    <font>
      <name val="Arial"/>
      <charset val="1"/>
      <family val="0"/>
      <b val="1"/>
      <color rgb="FF0070C0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8000"/>
      <sz val="10"/>
    </font>
    <font>
      <name val="Arial"/>
      <charset val="1"/>
      <family val="0"/>
      <b val="1"/>
      <color rgb="FFC9A84C"/>
      <sz val="14"/>
    </font>
    <font>
      <name val="Arial"/>
      <charset val="1"/>
      <family val="0"/>
      <color rgb="FF0070C0"/>
      <sz val="10"/>
    </font>
    <font>
      <name val="Arial"/>
      <charset val="1"/>
      <family val="0"/>
      <i val="1"/>
      <color rgb="FF6B7A99"/>
      <sz val="9"/>
    </font>
    <font>
      <name val="Arial"/>
      <charset val="1"/>
      <family val="0"/>
      <color rgb="FF008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E8C96A"/>
      <sz val="11"/>
    </font>
    <font>
      <name val="Arial"/>
      <charset val="1"/>
      <family val="0"/>
      <b val="1"/>
      <color rgb="FFE8C96A"/>
      <sz val="14"/>
    </font>
    <font>
      <name val="Arial"/>
      <charset val="1"/>
      <family val="0"/>
      <i val="1"/>
      <color rgb="FFC9A84C"/>
      <sz val="10"/>
    </font>
    <font>
      <name val="Arial"/>
      <charset val="1"/>
      <family val="0"/>
      <color rgb="FFC9A84C"/>
      <sz val="10"/>
    </font>
    <font>
      <name val="Arial"/>
      <charset val="1"/>
      <family val="0"/>
      <b val="1"/>
      <color rgb="FF3ECF8E"/>
      <sz val="11"/>
    </font>
    <font>
      <name val="Arial"/>
      <charset val="1"/>
      <family val="0"/>
      <b val="1"/>
      <color rgb="FF3ECF8E"/>
      <sz val="14"/>
    </font>
    <font>
      <name val="Arial"/>
      <charset val="1"/>
      <family val="0"/>
      <b val="1"/>
      <color rgb="FF4A7FFF"/>
      <sz val="10"/>
    </font>
    <font>
      <name val="Arial"/>
      <charset val="1"/>
      <family val="0"/>
      <b val="1"/>
      <color rgb="FF4A7FFF"/>
      <sz val="12"/>
    </font>
    <font>
      <name val="Arial"/>
      <charset val="1"/>
      <family val="0"/>
      <b val="1"/>
      <color rgb="FFF56565"/>
      <sz val="10"/>
    </font>
    <font>
      <name val="Arial"/>
      <charset val="1"/>
      <family val="0"/>
      <b val="1"/>
      <color rgb="FF1A5276"/>
      <sz val="10"/>
    </font>
    <font>
      <name val="Arial"/>
      <charset val="1"/>
      <family val="0"/>
      <b val="1"/>
      <color rgb="FFF56565"/>
      <sz val="11"/>
    </font>
    <font>
      <name val="Arial"/>
      <charset val="1"/>
      <family val="0"/>
      <b val="1"/>
      <color rgb="FF4A7FFF"/>
      <sz val="9"/>
    </font>
    <font>
      <name val="Arial"/>
      <charset val="1"/>
      <family val="0"/>
      <b val="1"/>
      <color rgb="FF3ECF8E"/>
      <sz val="9"/>
    </font>
    <font>
      <name val="Arial"/>
      <charset val="1"/>
      <family val="0"/>
      <b val="1"/>
      <color rgb="FFF56565"/>
      <sz val="9"/>
    </font>
    <font>
      <name val="Arial"/>
      <charset val="1"/>
      <family val="0"/>
      <color rgb="FF2D3748"/>
      <sz val="9"/>
    </font>
    <font>
      <name val="Arial"/>
      <charset val="1"/>
      <family val="0"/>
      <b val="1"/>
      <color rgb="FFE8C96A"/>
      <sz val="12"/>
    </font>
    <font>
      <name val="Arial"/>
      <charset val="1"/>
      <family val="0"/>
      <color rgb="FF000000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</fonts>
  <fills count="22">
    <fill>
      <patternFill/>
    </fill>
    <fill>
      <patternFill patternType="gray125"/>
    </fill>
    <fill>
      <patternFill patternType="solid">
        <fgColor rgb="FF0D1120"/>
        <bgColor rgb="FF131726"/>
      </patternFill>
    </fill>
    <fill>
      <patternFill patternType="solid">
        <fgColor rgb="FF1A2744"/>
        <bgColor rgb="FF1F2A40"/>
      </patternFill>
    </fill>
    <fill>
      <patternFill patternType="solid">
        <fgColor rgb="FF131726"/>
        <bgColor rgb="FF0D1A2B"/>
      </patternFill>
    </fill>
    <fill>
      <patternFill patternType="solid">
        <fgColor rgb="FFEEF2F7"/>
        <bgColor rgb="FFEBF5FB"/>
      </patternFill>
    </fill>
    <fill>
      <patternFill patternType="solid">
        <fgColor rgb="FFF7F9FC"/>
        <bgColor rgb="FFF5F7FA"/>
      </patternFill>
    </fill>
    <fill>
      <patternFill patternType="solid">
        <fgColor rgb="FFFFF9E6"/>
        <bgColor rgb="FFFFFDE7"/>
      </patternFill>
    </fill>
    <fill>
      <patternFill patternType="solid">
        <fgColor rgb="FFFFFEF5"/>
        <bgColor rgb="FFFFFFF5"/>
      </patternFill>
    </fill>
    <fill>
      <patternFill patternType="solid">
        <fgColor rgb="FFFFFFF5"/>
        <bgColor rgb="FFFFFEF5"/>
      </patternFill>
    </fill>
    <fill>
      <patternFill patternType="solid">
        <fgColor rgb="FFF5F7FA"/>
        <bgColor rgb="FFF7F9FC"/>
      </patternFill>
    </fill>
    <fill>
      <patternFill patternType="solid">
        <fgColor rgb="FFFFFDE7"/>
        <bgColor rgb="FFFFF9E6"/>
      </patternFill>
    </fill>
    <fill>
      <patternFill patternType="solid">
        <fgColor rgb="FFEBF5FB"/>
        <bgColor rgb="FFEEF2F7"/>
      </patternFill>
    </fill>
    <fill>
      <patternFill patternType="solid">
        <fgColor rgb="FF2A2210"/>
        <bgColor rgb="FF131726"/>
      </patternFill>
    </fill>
    <fill>
      <patternFill patternType="solid">
        <fgColor rgb="FF0D2B1E"/>
        <bgColor rgb="FF0D1A2B"/>
      </patternFill>
    </fill>
    <fill>
      <patternFill patternType="solid">
        <fgColor rgb="FF0D1A2B"/>
        <bgColor rgb="FF131726"/>
      </patternFill>
    </fill>
    <fill>
      <patternFill patternType="solid">
        <fgColor rgb="FFF0F4FF"/>
        <bgColor rgb="FFEBF5FB"/>
      </patternFill>
    </fill>
    <fill>
      <patternFill patternType="solid">
        <fgColor rgb="FFD4EFDF"/>
        <bgColor rgb="FFEBF5FB"/>
      </patternFill>
    </fill>
    <fill>
      <patternFill patternType="solid">
        <fgColor rgb="FFFFFFFF"/>
        <bgColor rgb="FFFFFFF5"/>
      </patternFill>
    </fill>
    <fill>
      <patternFill patternType="solid">
        <fgColor rgb="FFFADBD8"/>
        <bgColor rgb="FFD9D9D9"/>
      </patternFill>
    </fill>
    <fill>
      <patternFill patternType="solid">
        <fgColor rgb="FFEEF8EC"/>
        <bgColor rgb="FFEBF5FB"/>
      </patternFill>
    </fill>
    <fill>
      <patternFill patternType="solid">
        <fgColor rgb="FFFFF9C4"/>
        <bgColor rgb="FFFFF9E6"/>
      </patternFill>
    </fill>
  </fills>
  <borders count="14">
    <border>
      <left/>
      <right/>
      <top/>
      <bottom/>
      <diagonal/>
    </border>
    <border>
      <left style="thin">
        <color rgb="FF1F2A40"/>
      </left>
      <right style="thin">
        <color rgb="FF1F2A40"/>
      </right>
      <top style="thin">
        <color rgb="FF1F2A40"/>
      </top>
      <bottom style="thin">
        <color rgb="FF1F2A40"/>
      </bottom>
      <diagonal/>
    </border>
    <border>
      <left style="thin">
        <color rgb="FFE8D5A3"/>
      </left>
      <right style="thin">
        <color rgb="FFE8D5A3"/>
      </right>
      <top style="thin">
        <color rgb="FFE8D5A3"/>
      </top>
      <bottom style="thin">
        <color rgb="FFE8D5A3"/>
      </bottom>
      <diagonal/>
    </border>
    <border>
      <left style="thin">
        <color rgb="FF1F2A40"/>
      </left>
      <right/>
      <top style="thin">
        <color rgb="FF1F2A40"/>
      </top>
      <bottom style="thin">
        <color rgb="FF1F2A40"/>
      </bottom>
      <diagonal/>
    </border>
    <border>
      <left style="thin"/>
      <right style="thin"/>
      <top style="thin"/>
      <bottom style="thin"/>
      <diagonal/>
    </border>
    <border>
      <left style="thin">
        <color rgb="FFE8D5A3"/>
      </left>
      <right/>
      <top style="thin">
        <color rgb="FFE8D5A3"/>
      </top>
      <bottom style="thin">
        <color rgb="FFE8D5A3"/>
      </bottom>
      <diagonal/>
    </border>
    <border>
      <left/>
      <right/>
      <top style="thin">
        <color rgb="FF1F2A40"/>
      </top>
      <bottom/>
      <diagonal/>
    </border>
    <border>
      <left/>
      <right style="thin">
        <color rgb="FF1F2A40"/>
      </right>
      <top style="thin">
        <color rgb="FF1F2A40"/>
      </top>
      <bottom/>
      <diagonal/>
    </border>
    <border>
      <left/>
      <right/>
      <top style="thin">
        <color rgb="FF1F2A40"/>
      </top>
      <bottom style="thin">
        <color rgb="FF1F2A40"/>
      </bottom>
      <diagonal/>
    </border>
    <border>
      <left/>
      <right style="thin">
        <color rgb="FF1F2A40"/>
      </right>
      <top style="thin">
        <color rgb="FF1F2A40"/>
      </top>
      <bottom style="thin">
        <color rgb="FF1F2A40"/>
      </bottom>
      <diagonal/>
    </border>
    <border>
      <left/>
      <right/>
      <top style="thin">
        <color rgb="FFE8D5A3"/>
      </top>
      <bottom/>
      <diagonal/>
    </border>
    <border>
      <left/>
      <right style="thin">
        <color rgb="FFE8D5A3"/>
      </right>
      <top style="thin">
        <color rgb="FFE8D5A3"/>
      </top>
      <bottom/>
      <diagonal/>
    </border>
    <border>
      <left/>
      <right/>
      <top style="thin">
        <color rgb="FFE8D5A3"/>
      </top>
      <bottom style="thin">
        <color rgb="FFE8D5A3"/>
      </bottom>
      <diagonal/>
    </border>
    <border>
      <left/>
      <right style="thin">
        <color rgb="FFE8D5A3"/>
      </right>
      <top style="thin">
        <color rgb="FFE8D5A3"/>
      </top>
      <bottom style="thin">
        <color rgb="FFE8D5A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165" fontId="7" fillId="2" borderId="1" applyAlignment="1" pivotButton="0" quotePrefix="0" xfId="0">
      <alignment horizontal="center" vertical="center"/>
    </xf>
    <xf numFmtId="166" fontId="7" fillId="2" borderId="1" applyAlignment="1" pivotButton="0" quotePrefix="0" xfId="0">
      <alignment horizontal="center" vertical="center"/>
    </xf>
    <xf numFmtId="167" fontId="7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left" vertical="center"/>
    </xf>
    <xf numFmtId="164" fontId="11" fillId="5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left" vertical="center"/>
    </xf>
    <xf numFmtId="164" fontId="11" fillId="6" borderId="1" applyAlignment="1" pivotButton="0" quotePrefix="0" xfId="0">
      <alignment horizontal="right" vertical="center"/>
    </xf>
    <xf numFmtId="0" fontId="0" fillId="6" borderId="1" applyAlignment="1" pivotButton="0" quotePrefix="0" xfId="0">
      <alignment horizontal="general" vertical="bottom"/>
    </xf>
    <xf numFmtId="164" fontId="12" fillId="6" borderId="1" applyAlignment="1" pivotButton="0" quotePrefix="0" xfId="0">
      <alignment horizontal="right" vertical="center"/>
    </xf>
    <xf numFmtId="164" fontId="13" fillId="5" borderId="1" applyAlignment="1" pivotButton="0" quotePrefix="0" xfId="0">
      <alignment horizontal="right" vertical="center"/>
    </xf>
    <xf numFmtId="164" fontId="14" fillId="6" borderId="1" applyAlignment="1" pivotButton="0" quotePrefix="0" xfId="0">
      <alignment horizontal="right" vertical="center"/>
    </xf>
    <xf numFmtId="164" fontId="14" fillId="5" borderId="1" applyAlignment="1" pivotButton="0" quotePrefix="0" xfId="0">
      <alignment horizontal="right" vertical="center"/>
    </xf>
    <xf numFmtId="0" fontId="15" fillId="7" borderId="1" applyAlignment="1" pivotButton="0" quotePrefix="0" xfId="0">
      <alignment horizontal="left" vertical="center"/>
    </xf>
    <xf numFmtId="0" fontId="15" fillId="8" borderId="2" applyAlignment="1" pivotButton="0" quotePrefix="0" xfId="0">
      <alignment horizontal="left" vertical="center"/>
    </xf>
    <xf numFmtId="0" fontId="16" fillId="8" borderId="2" applyAlignment="1" pivotButton="0" quotePrefix="0" xfId="0">
      <alignment horizontal="left" vertical="center"/>
    </xf>
    <xf numFmtId="0" fontId="15" fillId="9" borderId="2" applyAlignment="1" pivotButton="0" quotePrefix="0" xfId="0">
      <alignment horizontal="left" vertical="center"/>
    </xf>
    <xf numFmtId="0" fontId="16" fillId="9" borderId="2" applyAlignment="1" pivotButton="0" quotePrefix="0" xfId="0">
      <alignment horizontal="left" vertical="center"/>
    </xf>
    <xf numFmtId="0" fontId="17" fillId="4" borderId="1" applyAlignment="1" pivotButton="0" quotePrefix="0" xfId="0">
      <alignment horizontal="left" vertical="center"/>
    </xf>
    <xf numFmtId="0" fontId="18" fillId="10" borderId="1" applyAlignment="1" pivotButton="0" quotePrefix="0" xfId="0">
      <alignment horizontal="left" vertical="center"/>
    </xf>
    <xf numFmtId="0" fontId="10" fillId="10" borderId="1" applyAlignment="1" pivotButton="0" quotePrefix="0" xfId="0">
      <alignment horizontal="left" vertical="center"/>
    </xf>
    <xf numFmtId="0" fontId="19" fillId="10" borderId="1" applyAlignment="1" pivotButton="0" quotePrefix="0" xfId="0">
      <alignment horizontal="left" vertical="center"/>
    </xf>
    <xf numFmtId="0" fontId="20" fillId="10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left" vertical="center"/>
    </xf>
    <xf numFmtId="0" fontId="10" fillId="11" borderId="1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168" fontId="22" fillId="12" borderId="1" applyAlignment="1" pivotButton="0" quotePrefix="0" xfId="0">
      <alignment horizontal="right" vertical="center"/>
    </xf>
    <xf numFmtId="0" fontId="23" fillId="10" borderId="3" applyAlignment="1" pivotButton="0" quotePrefix="0" xfId="0">
      <alignment horizontal="left" vertical="center"/>
    </xf>
    <xf numFmtId="169" fontId="22" fillId="12" borderId="1" applyAlignment="1" pivotButton="0" quotePrefix="0" xfId="0">
      <alignment horizontal="right" vertical="center"/>
    </xf>
    <xf numFmtId="49" fontId="22" fillId="12" borderId="1" applyAlignment="1" pivotButton="0" quotePrefix="0" xfId="0">
      <alignment horizontal="right" vertical="center"/>
    </xf>
    <xf numFmtId="0" fontId="9" fillId="3" borderId="1" applyAlignment="1" pivotButton="0" quotePrefix="0" xfId="0">
      <alignment horizontal="left" vertical="center"/>
    </xf>
    <xf numFmtId="170" fontId="24" fillId="5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171" fontId="24" fillId="5" borderId="1" applyAlignment="1" pivotButton="0" quotePrefix="0" xfId="0">
      <alignment horizontal="right" vertical="center"/>
    </xf>
    <xf numFmtId="164" fontId="25" fillId="6" borderId="1" applyAlignment="1" pivotButton="0" quotePrefix="0" xfId="0">
      <alignment horizontal="right" vertical="center"/>
    </xf>
    <xf numFmtId="164" fontId="25" fillId="5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left" vertical="center"/>
    </xf>
    <xf numFmtId="164" fontId="24" fillId="5" borderId="1" applyAlignment="1" pivotButton="0" quotePrefix="0" xfId="0">
      <alignment horizontal="right" vertical="center"/>
    </xf>
    <xf numFmtId="0" fontId="26" fillId="13" borderId="1" applyAlignment="1" pivotButton="0" quotePrefix="0" xfId="0">
      <alignment horizontal="left" vertical="center"/>
    </xf>
    <xf numFmtId="164" fontId="27" fillId="13" borderId="1" applyAlignment="1" pivotButton="0" quotePrefix="0" xfId="0">
      <alignment horizontal="right" vertical="center"/>
    </xf>
    <xf numFmtId="0" fontId="28" fillId="13" borderId="3" applyAlignment="1" pivotButton="0" quotePrefix="0" xfId="0">
      <alignment horizontal="left" vertical="center"/>
    </xf>
    <xf numFmtId="0" fontId="9" fillId="13" borderId="1" applyAlignment="1" pivotButton="0" quotePrefix="0" xfId="0">
      <alignment horizontal="left" vertical="center"/>
    </xf>
    <xf numFmtId="164" fontId="29" fillId="13" borderId="1" applyAlignment="1" pivotButton="0" quotePrefix="0" xfId="0">
      <alignment horizontal="right" vertical="center"/>
    </xf>
    <xf numFmtId="0" fontId="0" fillId="13" borderId="3" applyAlignment="1" pivotButton="0" quotePrefix="0" xfId="0">
      <alignment horizontal="general" vertical="bottom"/>
    </xf>
    <xf numFmtId="0" fontId="13" fillId="14" borderId="1" applyAlignment="1" pivotButton="0" quotePrefix="0" xfId="0">
      <alignment horizontal="left" vertical="center"/>
    </xf>
    <xf numFmtId="0" fontId="30" fillId="14" borderId="1" applyAlignment="1" pivotButton="0" quotePrefix="0" xfId="0">
      <alignment horizontal="left" vertical="center"/>
    </xf>
    <xf numFmtId="164" fontId="31" fillId="14" borderId="1" applyAlignment="1" pivotButton="0" quotePrefix="0" xfId="0">
      <alignment horizontal="right" vertical="center"/>
    </xf>
    <xf numFmtId="0" fontId="0" fillId="14" borderId="3" applyAlignment="1" pivotButton="0" quotePrefix="0" xfId="0">
      <alignment horizontal="general" vertical="bottom"/>
    </xf>
    <xf numFmtId="0" fontId="32" fillId="15" borderId="1" applyAlignment="1" pivotButton="0" quotePrefix="0" xfId="0">
      <alignment horizontal="left" vertical="center"/>
    </xf>
    <xf numFmtId="1" fontId="33" fillId="15" borderId="1" applyAlignment="1" pivotButton="0" quotePrefix="0" xfId="0">
      <alignment horizontal="right" vertical="center"/>
    </xf>
    <xf numFmtId="0" fontId="0" fillId="15" borderId="3" applyAlignment="1" pivotButton="0" quotePrefix="0" xfId="0">
      <alignment horizontal="general" vertical="bottom"/>
    </xf>
    <xf numFmtId="0" fontId="6" fillId="4" borderId="1" applyAlignment="1" pivotButton="0" quotePrefix="0" xfId="0">
      <alignment horizontal="center" vertical="center"/>
    </xf>
    <xf numFmtId="164" fontId="13" fillId="16" borderId="1" applyAlignment="1" pivotButton="0" quotePrefix="0" xfId="0">
      <alignment horizontal="right" vertical="center"/>
    </xf>
    <xf numFmtId="164" fontId="22" fillId="12" borderId="1" applyAlignment="1" pivotButton="0" quotePrefix="0" xfId="0">
      <alignment horizontal="right" vertical="center"/>
    </xf>
    <xf numFmtId="0" fontId="23" fillId="16" borderId="1" applyAlignment="1" pivotButton="0" quotePrefix="0" xfId="0">
      <alignment horizontal="right" vertical="center"/>
    </xf>
    <xf numFmtId="164" fontId="34" fillId="16" borderId="1" applyAlignment="1" pivotButton="0" quotePrefix="0" xfId="0">
      <alignment horizontal="right" vertical="center"/>
    </xf>
    <xf numFmtId="164" fontId="24" fillId="16" borderId="1" applyAlignment="1" pivotButton="0" quotePrefix="0" xfId="0">
      <alignment horizontal="right" vertical="center"/>
    </xf>
    <xf numFmtId="0" fontId="35" fillId="17" borderId="1" applyAlignment="1" pivotButton="0" quotePrefix="0" xfId="0">
      <alignment horizontal="left" vertical="center"/>
    </xf>
    <xf numFmtId="164" fontId="30" fillId="18" borderId="1" applyAlignment="1" pivotButton="0" quotePrefix="0" xfId="0">
      <alignment horizontal="right" vertical="center"/>
    </xf>
    <xf numFmtId="0" fontId="34" fillId="4" borderId="1" applyAlignment="1" pivotButton="0" quotePrefix="0" xfId="0">
      <alignment horizontal="left" vertical="center"/>
    </xf>
    <xf numFmtId="0" fontId="17" fillId="2" borderId="4" applyAlignment="1" pivotButton="0" quotePrefix="0" xfId="0">
      <alignment horizontal="center" vertical="center"/>
    </xf>
    <xf numFmtId="0" fontId="34" fillId="19" borderId="1" applyAlignment="1" pivotButton="0" quotePrefix="0" xfId="0">
      <alignment horizontal="left" vertical="center"/>
    </xf>
    <xf numFmtId="164" fontId="36" fillId="18" borderId="1" applyAlignment="1" pivotButton="0" quotePrefix="0" xfId="0">
      <alignment horizontal="right" vertical="center"/>
    </xf>
    <xf numFmtId="0" fontId="17" fillId="5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/>
    </xf>
    <xf numFmtId="164" fontId="30" fillId="17" borderId="1" applyAlignment="1" pivotButton="0" quotePrefix="0" xfId="0">
      <alignment horizontal="right" vertical="center"/>
    </xf>
    <xf numFmtId="0" fontId="0" fillId="17" borderId="1" applyAlignment="1" pivotButton="0" quotePrefix="0" xfId="0">
      <alignment horizontal="general" vertical="bottom"/>
    </xf>
    <xf numFmtId="49" fontId="22" fillId="11" borderId="2" applyAlignment="1" pivotButton="0" quotePrefix="0" xfId="0">
      <alignment horizontal="right" vertical="center"/>
    </xf>
    <xf numFmtId="0" fontId="23" fillId="11" borderId="5" applyAlignment="1" pivotButton="0" quotePrefix="0" xfId="0">
      <alignment horizontal="left" vertical="center"/>
    </xf>
    <xf numFmtId="0" fontId="37" fillId="3" borderId="1" applyAlignment="1" pivotButton="0" quotePrefix="0" xfId="0">
      <alignment horizontal="left" vertical="center"/>
    </xf>
    <xf numFmtId="164" fontId="38" fillId="17" borderId="1" applyAlignment="1" pivotButton="0" quotePrefix="0" xfId="0">
      <alignment horizontal="right" vertical="center"/>
    </xf>
    <xf numFmtId="164" fontId="35" fillId="5" borderId="1" applyAlignment="1" pivotButton="0" quotePrefix="0" xfId="0">
      <alignment horizontal="right" vertical="center"/>
    </xf>
    <xf numFmtId="0" fontId="10" fillId="17" borderId="1" applyAlignment="1" pivotButton="0" quotePrefix="0" xfId="0">
      <alignment horizontal="left" vertical="center"/>
    </xf>
    <xf numFmtId="164" fontId="13" fillId="17" borderId="1" applyAlignment="1" pivotButton="0" quotePrefix="0" xfId="0">
      <alignment horizontal="right" vertical="center"/>
    </xf>
    <xf numFmtId="0" fontId="22" fillId="12" borderId="1" applyAlignment="1" pivotButton="0" quotePrefix="0" xfId="0">
      <alignment horizontal="left" vertical="center"/>
    </xf>
    <xf numFmtId="0" fontId="23" fillId="5" borderId="1" applyAlignment="1" pivotButton="0" quotePrefix="0" xfId="0">
      <alignment horizontal="left" vertical="center"/>
    </xf>
    <xf numFmtId="0" fontId="23" fillId="6" borderId="1" applyAlignment="1" pivotButton="0" quotePrefix="0" xfId="0">
      <alignment horizontal="left" vertical="center"/>
    </xf>
    <xf numFmtId="164" fontId="12" fillId="19" borderId="1" applyAlignment="1" pivotButton="0" quotePrefix="0" xfId="0">
      <alignment horizontal="right" vertical="center"/>
    </xf>
    <xf numFmtId="164" fontId="39" fillId="19" borderId="1" applyAlignment="1" pivotButton="0" quotePrefix="0" xfId="0">
      <alignment horizontal="right" vertical="center"/>
    </xf>
    <xf numFmtId="172" fontId="22" fillId="11" borderId="1" applyAlignment="1" pivotButton="0" quotePrefix="0" xfId="0">
      <alignment horizontal="right" vertical="center"/>
    </xf>
    <xf numFmtId="0" fontId="13" fillId="20" borderId="1" applyAlignment="1" pivotButton="0" quotePrefix="0" xfId="0">
      <alignment horizontal="left" vertical="center"/>
    </xf>
    <xf numFmtId="164" fontId="30" fillId="20" borderId="1" applyAlignment="1" pivotButton="0" quotePrefix="0" xfId="0">
      <alignment horizontal="right" vertical="center"/>
    </xf>
    <xf numFmtId="172" fontId="25" fillId="5" borderId="1" applyAlignment="1" pivotButton="0" quotePrefix="0" xfId="0">
      <alignment horizontal="right" vertical="center"/>
    </xf>
    <xf numFmtId="0" fontId="40" fillId="5" borderId="1" applyAlignment="1" pivotButton="0" quotePrefix="0" xfId="0">
      <alignment horizontal="left" vertical="center"/>
    </xf>
    <xf numFmtId="0" fontId="40" fillId="5" borderId="1" applyAlignment="1" pivotButton="0" quotePrefix="0" xfId="0">
      <alignment horizontal="center" vertical="center"/>
    </xf>
    <xf numFmtId="0" fontId="40" fillId="17" borderId="1" applyAlignment="1" pivotButton="0" quotePrefix="0" xfId="0">
      <alignment horizontal="center" vertical="center"/>
    </xf>
    <xf numFmtId="0" fontId="40" fillId="21" borderId="1" applyAlignment="1" pivotButton="0" quotePrefix="0" xfId="0">
      <alignment horizontal="center" vertical="center"/>
    </xf>
    <xf numFmtId="0" fontId="40" fillId="6" borderId="1" applyAlignment="1" pivotButton="0" quotePrefix="0" xfId="0">
      <alignment horizontal="left" vertical="center"/>
    </xf>
    <xf numFmtId="0" fontId="40" fillId="6" borderId="1" applyAlignment="1" pivotButton="0" quotePrefix="0" xfId="0">
      <alignment horizontal="center" vertical="center"/>
    </xf>
    <xf numFmtId="0" fontId="6" fillId="2" borderId="4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164" fontId="25" fillId="18" borderId="1" applyAlignment="1" pivotButton="0" quotePrefix="0" xfId="0">
      <alignment horizontal="right" vertical="center"/>
    </xf>
    <xf numFmtId="0" fontId="22" fillId="12" borderId="1" applyAlignment="1" pivotButton="0" quotePrefix="0" xfId="0">
      <alignment horizontal="center" vertical="center"/>
    </xf>
    <xf numFmtId="164" fontId="24" fillId="18" borderId="1" applyAlignment="1" pivotButton="0" quotePrefix="0" xfId="0">
      <alignment horizontal="right" vertical="center"/>
    </xf>
    <xf numFmtId="164" fontId="24" fillId="6" borderId="1" applyAlignment="1" pivotButton="0" quotePrefix="0" xfId="0">
      <alignment horizontal="right" vertical="center"/>
    </xf>
    <xf numFmtId="0" fontId="41" fillId="13" borderId="1" applyAlignment="1" pivotButton="0" quotePrefix="0" xfId="0">
      <alignment horizontal="left" vertical="center"/>
    </xf>
    <xf numFmtId="1" fontId="32" fillId="18" borderId="1" applyAlignment="1" pivotButton="0" quotePrefix="0" xfId="0">
      <alignment horizontal="right" vertical="center"/>
    </xf>
    <xf numFmtId="168" fontId="42" fillId="5" borderId="1" applyAlignment="1" pivotButton="0" quotePrefix="0" xfId="0">
      <alignment horizontal="center" vertical="center"/>
    </xf>
    <xf numFmtId="164" fontId="42" fillId="5" borderId="1" applyAlignment="1" pivotButton="0" quotePrefix="0" xfId="0">
      <alignment horizontal="right" vertical="center"/>
    </xf>
    <xf numFmtId="169" fontId="42" fillId="5" borderId="1" applyAlignment="1" pivotButton="0" quotePrefix="0" xfId="0">
      <alignment horizontal="right" vertical="center"/>
    </xf>
    <xf numFmtId="0" fontId="42" fillId="5" borderId="1" applyAlignment="1" pivotButton="0" quotePrefix="0" xfId="0">
      <alignment horizontal="center" vertical="center"/>
    </xf>
    <xf numFmtId="168" fontId="42" fillId="6" borderId="1" applyAlignment="1" pivotButton="0" quotePrefix="0" xfId="0">
      <alignment horizontal="center" vertical="center"/>
    </xf>
    <xf numFmtId="164" fontId="42" fillId="6" borderId="1" applyAlignment="1" pivotButton="0" quotePrefix="0" xfId="0">
      <alignment horizontal="right" vertical="center"/>
    </xf>
    <xf numFmtId="169" fontId="42" fillId="6" borderId="1" applyAlignment="1" pivotButton="0" quotePrefix="0" xfId="0">
      <alignment horizontal="right" vertical="center"/>
    </xf>
    <xf numFmtId="49" fontId="42" fillId="6" borderId="1" applyAlignment="1" pivotButton="0" quotePrefix="0" xfId="0">
      <alignment horizontal="center" vertical="center"/>
    </xf>
    <xf numFmtId="49" fontId="42" fillId="5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165" fontId="7" fillId="2" borderId="1" applyAlignment="1" pivotButton="0" quotePrefix="0" xfId="0">
      <alignment horizontal="center" vertical="center"/>
    </xf>
    <xf numFmtId="166" fontId="7" fillId="2" borderId="1" applyAlignment="1" pivotButton="0" quotePrefix="0" xfId="0">
      <alignment horizontal="center" vertical="center"/>
    </xf>
    <xf numFmtId="167" fontId="7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0" fontId="0" fillId="0" borderId="8" pivotButton="0" quotePrefix="0" xfId="0"/>
    <xf numFmtId="0" fontId="0" fillId="0" borderId="9" pivotButton="0" quotePrefix="0" xfId="0"/>
    <xf numFmtId="0" fontId="10" fillId="5" borderId="1" applyAlignment="1" pivotButton="0" quotePrefix="0" xfId="0">
      <alignment horizontal="left" vertical="center"/>
    </xf>
    <xf numFmtId="164" fontId="11" fillId="5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left" vertical="center"/>
    </xf>
    <xf numFmtId="164" fontId="11" fillId="6" borderId="1" applyAlignment="1" pivotButton="0" quotePrefix="0" xfId="0">
      <alignment horizontal="right" vertical="center"/>
    </xf>
    <xf numFmtId="0" fontId="0" fillId="6" borderId="1" applyAlignment="1" pivotButton="0" quotePrefix="0" xfId="0">
      <alignment horizontal="general" vertical="bottom"/>
    </xf>
    <xf numFmtId="164" fontId="12" fillId="6" borderId="1" applyAlignment="1" pivotButton="0" quotePrefix="0" xfId="0">
      <alignment horizontal="right" vertical="center"/>
    </xf>
    <xf numFmtId="164" fontId="13" fillId="5" borderId="1" applyAlignment="1" pivotButton="0" quotePrefix="0" xfId="0">
      <alignment horizontal="right" vertical="center"/>
    </xf>
    <xf numFmtId="164" fontId="14" fillId="6" borderId="1" applyAlignment="1" pivotButton="0" quotePrefix="0" xfId="0">
      <alignment horizontal="right" vertical="center"/>
    </xf>
    <xf numFmtId="164" fontId="14" fillId="5" borderId="1" applyAlignment="1" pivotButton="0" quotePrefix="0" xfId="0">
      <alignment horizontal="right" vertical="center"/>
    </xf>
    <xf numFmtId="0" fontId="15" fillId="7" borderId="1" applyAlignment="1" pivotButton="0" quotePrefix="0" xfId="0">
      <alignment horizontal="left" vertical="center"/>
    </xf>
    <xf numFmtId="0" fontId="15" fillId="8" borderId="2" applyAlignment="1" pivotButton="0" quotePrefix="0" xfId="0">
      <alignment horizontal="left" vertical="center"/>
    </xf>
    <xf numFmtId="0" fontId="16" fillId="8" borderId="2" applyAlignment="1" pivotButton="0" quotePrefix="0" xfId="0">
      <alignment horizontal="left" vertical="center"/>
    </xf>
    <xf numFmtId="0" fontId="0" fillId="0" borderId="12" pivotButton="0" quotePrefix="0" xfId="0"/>
    <xf numFmtId="0" fontId="0" fillId="0" borderId="13" pivotButton="0" quotePrefix="0" xfId="0"/>
    <xf numFmtId="0" fontId="15" fillId="9" borderId="2" applyAlignment="1" pivotButton="0" quotePrefix="0" xfId="0">
      <alignment horizontal="left" vertical="center"/>
    </xf>
    <xf numFmtId="0" fontId="16" fillId="9" borderId="2" applyAlignment="1" pivotButton="0" quotePrefix="0" xfId="0">
      <alignment horizontal="left" vertical="center"/>
    </xf>
    <xf numFmtId="0" fontId="17" fillId="4" borderId="1" applyAlignment="1" pivotButton="0" quotePrefix="0" xfId="0">
      <alignment horizontal="left" vertical="center"/>
    </xf>
    <xf numFmtId="0" fontId="18" fillId="10" borderId="1" applyAlignment="1" pivotButton="0" quotePrefix="0" xfId="0">
      <alignment horizontal="left" vertical="center"/>
    </xf>
    <xf numFmtId="0" fontId="10" fillId="10" borderId="1" applyAlignment="1" pivotButton="0" quotePrefix="0" xfId="0">
      <alignment horizontal="left" vertical="center"/>
    </xf>
    <xf numFmtId="0" fontId="19" fillId="10" borderId="1" applyAlignment="1" pivotButton="0" quotePrefix="0" xfId="0">
      <alignment horizontal="left" vertical="center"/>
    </xf>
    <xf numFmtId="0" fontId="20" fillId="10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left" vertical="center"/>
    </xf>
    <xf numFmtId="0" fontId="10" fillId="11" borderId="1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168" fontId="22" fillId="12" borderId="1" applyAlignment="1" pivotButton="0" quotePrefix="0" xfId="0">
      <alignment horizontal="right" vertical="center"/>
    </xf>
    <xf numFmtId="0" fontId="23" fillId="10" borderId="3" applyAlignment="1" pivotButton="0" quotePrefix="0" xfId="0">
      <alignment horizontal="left" vertical="center"/>
    </xf>
    <xf numFmtId="169" fontId="22" fillId="12" borderId="1" applyAlignment="1" pivotButton="0" quotePrefix="0" xfId="0">
      <alignment horizontal="right" vertical="center"/>
    </xf>
    <xf numFmtId="49" fontId="22" fillId="12" borderId="1" applyAlignment="1" pivotButton="0" quotePrefix="0" xfId="0">
      <alignment horizontal="right" vertical="center"/>
    </xf>
    <xf numFmtId="0" fontId="9" fillId="3" borderId="1" applyAlignment="1" pivotButton="0" quotePrefix="0" xfId="0">
      <alignment horizontal="left" vertical="center"/>
    </xf>
    <xf numFmtId="170" fontId="24" fillId="5" borderId="1" applyAlignment="1" pivotButton="0" quotePrefix="0" xfId="0">
      <alignment horizontal="right" vertical="center"/>
    </xf>
    <xf numFmtId="171" fontId="24" fillId="5" borderId="1" applyAlignment="1" pivotButton="0" quotePrefix="0" xfId="0">
      <alignment horizontal="right" vertical="center"/>
    </xf>
    <xf numFmtId="164" fontId="25" fillId="6" borderId="1" applyAlignment="1" pivotButton="0" quotePrefix="0" xfId="0">
      <alignment horizontal="right" vertical="center"/>
    </xf>
    <xf numFmtId="164" fontId="25" fillId="5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left" vertical="center"/>
    </xf>
    <xf numFmtId="164" fontId="24" fillId="5" borderId="1" applyAlignment="1" pivotButton="0" quotePrefix="0" xfId="0">
      <alignment horizontal="right" vertical="center"/>
    </xf>
    <xf numFmtId="0" fontId="26" fillId="13" borderId="1" applyAlignment="1" pivotButton="0" quotePrefix="0" xfId="0">
      <alignment horizontal="left" vertical="center"/>
    </xf>
    <xf numFmtId="164" fontId="27" fillId="13" borderId="1" applyAlignment="1" pivotButton="0" quotePrefix="0" xfId="0">
      <alignment horizontal="right" vertical="center"/>
    </xf>
    <xf numFmtId="0" fontId="28" fillId="13" borderId="3" applyAlignment="1" pivotButton="0" quotePrefix="0" xfId="0">
      <alignment horizontal="left" vertical="center"/>
    </xf>
    <xf numFmtId="0" fontId="9" fillId="13" borderId="1" applyAlignment="1" pivotButton="0" quotePrefix="0" xfId="0">
      <alignment horizontal="left" vertical="center"/>
    </xf>
    <xf numFmtId="164" fontId="29" fillId="13" borderId="1" applyAlignment="1" pivotButton="0" quotePrefix="0" xfId="0">
      <alignment horizontal="right" vertical="center"/>
    </xf>
    <xf numFmtId="0" fontId="0" fillId="13" borderId="3" applyAlignment="1" pivotButton="0" quotePrefix="0" xfId="0">
      <alignment horizontal="general" vertical="bottom"/>
    </xf>
    <xf numFmtId="0" fontId="13" fillId="14" borderId="1" applyAlignment="1" pivotButton="0" quotePrefix="0" xfId="0">
      <alignment horizontal="left" vertical="center"/>
    </xf>
    <xf numFmtId="0" fontId="30" fillId="14" borderId="1" applyAlignment="1" pivotButton="0" quotePrefix="0" xfId="0">
      <alignment horizontal="left" vertical="center"/>
    </xf>
    <xf numFmtId="164" fontId="31" fillId="14" borderId="1" applyAlignment="1" pivotButton="0" quotePrefix="0" xfId="0">
      <alignment horizontal="right" vertical="center"/>
    </xf>
    <xf numFmtId="0" fontId="0" fillId="14" borderId="3" applyAlignment="1" pivotButton="0" quotePrefix="0" xfId="0">
      <alignment horizontal="general" vertical="bottom"/>
    </xf>
    <xf numFmtId="0" fontId="32" fillId="15" borderId="1" applyAlignment="1" pivotButton="0" quotePrefix="0" xfId="0">
      <alignment horizontal="left" vertical="center"/>
    </xf>
    <xf numFmtId="1" fontId="33" fillId="15" borderId="1" applyAlignment="1" pivotButton="0" quotePrefix="0" xfId="0">
      <alignment horizontal="right" vertical="center"/>
    </xf>
    <xf numFmtId="0" fontId="0" fillId="15" borderId="3" applyAlignment="1" pivotButton="0" quotePrefix="0" xfId="0">
      <alignment horizontal="general" vertical="bottom"/>
    </xf>
    <xf numFmtId="0" fontId="6" fillId="4" borderId="1" applyAlignment="1" pivotButton="0" quotePrefix="0" xfId="0">
      <alignment horizontal="center" vertical="center"/>
    </xf>
    <xf numFmtId="164" fontId="13" fillId="16" borderId="1" applyAlignment="1" pivotButton="0" quotePrefix="0" xfId="0">
      <alignment horizontal="right" vertical="center"/>
    </xf>
    <xf numFmtId="164" fontId="22" fillId="12" borderId="1" applyAlignment="1" pivotButton="0" quotePrefix="0" xfId="0">
      <alignment horizontal="right" vertical="center"/>
    </xf>
    <xf numFmtId="0" fontId="23" fillId="16" borderId="1" applyAlignment="1" pivotButton="0" quotePrefix="0" xfId="0">
      <alignment horizontal="right" vertical="center"/>
    </xf>
    <xf numFmtId="164" fontId="34" fillId="16" borderId="1" applyAlignment="1" pivotButton="0" quotePrefix="0" xfId="0">
      <alignment horizontal="right" vertical="center"/>
    </xf>
    <xf numFmtId="164" fontId="24" fillId="16" borderId="1" applyAlignment="1" pivotButton="0" quotePrefix="0" xfId="0">
      <alignment horizontal="right" vertical="center"/>
    </xf>
    <xf numFmtId="0" fontId="35" fillId="17" borderId="1" applyAlignment="1" pivotButton="0" quotePrefix="0" xfId="0">
      <alignment horizontal="left" vertical="center"/>
    </xf>
    <xf numFmtId="164" fontId="30" fillId="18" borderId="1" applyAlignment="1" pivotButton="0" quotePrefix="0" xfId="0">
      <alignment horizontal="right" vertical="center"/>
    </xf>
    <xf numFmtId="0" fontId="34" fillId="4" borderId="1" applyAlignment="1" pivotButton="0" quotePrefix="0" xfId="0">
      <alignment horizontal="left" vertical="center"/>
    </xf>
    <xf numFmtId="0" fontId="17" fillId="2" borderId="4" applyAlignment="1" pivotButton="0" quotePrefix="0" xfId="0">
      <alignment horizontal="center" vertical="center"/>
    </xf>
    <xf numFmtId="0" fontId="34" fillId="19" borderId="1" applyAlignment="1" pivotButton="0" quotePrefix="0" xfId="0">
      <alignment horizontal="left" vertical="center"/>
    </xf>
    <xf numFmtId="164" fontId="36" fillId="18" borderId="1" applyAlignment="1" pivotButton="0" quotePrefix="0" xfId="0">
      <alignment horizontal="right" vertical="center"/>
    </xf>
    <xf numFmtId="0" fontId="17" fillId="5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/>
    </xf>
    <xf numFmtId="164" fontId="30" fillId="17" borderId="1" applyAlignment="1" pivotButton="0" quotePrefix="0" xfId="0">
      <alignment horizontal="right" vertical="center"/>
    </xf>
    <xf numFmtId="0" fontId="0" fillId="17" borderId="1" applyAlignment="1" pivotButton="0" quotePrefix="0" xfId="0">
      <alignment horizontal="general" vertical="bottom"/>
    </xf>
    <xf numFmtId="49" fontId="22" fillId="11" borderId="2" applyAlignment="1" pivotButton="0" quotePrefix="0" xfId="0">
      <alignment horizontal="right" vertical="center"/>
    </xf>
    <xf numFmtId="0" fontId="23" fillId="11" borderId="5" applyAlignment="1" pivotButton="0" quotePrefix="0" xfId="0">
      <alignment horizontal="left" vertical="center"/>
    </xf>
    <xf numFmtId="0" fontId="37" fillId="3" borderId="1" applyAlignment="1" pivotButton="0" quotePrefix="0" xfId="0">
      <alignment horizontal="left" vertical="center"/>
    </xf>
    <xf numFmtId="164" fontId="38" fillId="17" borderId="1" applyAlignment="1" pivotButton="0" quotePrefix="0" xfId="0">
      <alignment horizontal="right" vertical="center"/>
    </xf>
    <xf numFmtId="164" fontId="35" fillId="5" borderId="1" applyAlignment="1" pivotButton="0" quotePrefix="0" xfId="0">
      <alignment horizontal="right" vertical="center"/>
    </xf>
    <xf numFmtId="0" fontId="10" fillId="17" borderId="1" applyAlignment="1" pivotButton="0" quotePrefix="0" xfId="0">
      <alignment horizontal="left" vertical="center"/>
    </xf>
    <xf numFmtId="164" fontId="13" fillId="17" borderId="1" applyAlignment="1" pivotButton="0" quotePrefix="0" xfId="0">
      <alignment horizontal="right" vertical="center"/>
    </xf>
    <xf numFmtId="0" fontId="22" fillId="12" borderId="1" applyAlignment="1" pivotButton="0" quotePrefix="0" xfId="0">
      <alignment horizontal="left" vertical="center"/>
    </xf>
    <xf numFmtId="0" fontId="23" fillId="5" borderId="1" applyAlignment="1" pivotButton="0" quotePrefix="0" xfId="0">
      <alignment horizontal="left" vertical="center"/>
    </xf>
    <xf numFmtId="0" fontId="23" fillId="6" borderId="1" applyAlignment="1" pivotButton="0" quotePrefix="0" xfId="0">
      <alignment horizontal="left" vertical="center"/>
    </xf>
    <xf numFmtId="164" fontId="12" fillId="19" borderId="1" applyAlignment="1" pivotButton="0" quotePrefix="0" xfId="0">
      <alignment horizontal="right" vertical="center"/>
    </xf>
    <xf numFmtId="164" fontId="39" fillId="19" borderId="1" applyAlignment="1" pivotButton="0" quotePrefix="0" xfId="0">
      <alignment horizontal="right" vertical="center"/>
    </xf>
    <xf numFmtId="172" fontId="22" fillId="11" borderId="1" applyAlignment="1" pivotButton="0" quotePrefix="0" xfId="0">
      <alignment horizontal="right" vertical="center"/>
    </xf>
    <xf numFmtId="0" fontId="13" fillId="20" borderId="1" applyAlignment="1" pivotButton="0" quotePrefix="0" xfId="0">
      <alignment horizontal="left" vertical="center"/>
    </xf>
    <xf numFmtId="164" fontId="30" fillId="20" borderId="1" applyAlignment="1" pivotButton="0" quotePrefix="0" xfId="0">
      <alignment horizontal="right" vertical="center"/>
    </xf>
    <xf numFmtId="172" fontId="25" fillId="5" borderId="1" applyAlignment="1" pivotButton="0" quotePrefix="0" xfId="0">
      <alignment horizontal="right" vertical="center"/>
    </xf>
    <xf numFmtId="0" fontId="40" fillId="5" borderId="1" applyAlignment="1" pivotButton="0" quotePrefix="0" xfId="0">
      <alignment horizontal="left" vertical="center"/>
    </xf>
    <xf numFmtId="0" fontId="40" fillId="5" borderId="1" applyAlignment="1" pivotButton="0" quotePrefix="0" xfId="0">
      <alignment horizontal="center" vertical="center"/>
    </xf>
    <xf numFmtId="0" fontId="40" fillId="17" borderId="1" applyAlignment="1" pivotButton="0" quotePrefix="0" xfId="0">
      <alignment horizontal="center" vertical="center"/>
    </xf>
    <xf numFmtId="0" fontId="40" fillId="21" borderId="1" applyAlignment="1" pivotButton="0" quotePrefix="0" xfId="0">
      <alignment horizontal="center" vertical="center"/>
    </xf>
    <xf numFmtId="0" fontId="40" fillId="6" borderId="1" applyAlignment="1" pivotButton="0" quotePrefix="0" xfId="0">
      <alignment horizontal="left" vertical="center"/>
    </xf>
    <xf numFmtId="0" fontId="40" fillId="6" borderId="1" applyAlignment="1" pivotButton="0" quotePrefix="0" xfId="0">
      <alignment horizontal="center" vertical="center"/>
    </xf>
    <xf numFmtId="0" fontId="6" fillId="2" borderId="4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164" fontId="25" fillId="18" borderId="1" applyAlignment="1" pivotButton="0" quotePrefix="0" xfId="0">
      <alignment horizontal="right" vertical="center"/>
    </xf>
    <xf numFmtId="0" fontId="22" fillId="12" borderId="1" applyAlignment="1" pivotButton="0" quotePrefix="0" xfId="0">
      <alignment horizontal="center" vertical="center"/>
    </xf>
    <xf numFmtId="164" fontId="24" fillId="18" borderId="1" applyAlignment="1" pivotButton="0" quotePrefix="0" xfId="0">
      <alignment horizontal="right" vertical="center"/>
    </xf>
    <xf numFmtId="164" fontId="24" fillId="6" borderId="1" applyAlignment="1" pivotButton="0" quotePrefix="0" xfId="0">
      <alignment horizontal="right" vertical="center"/>
    </xf>
    <xf numFmtId="0" fontId="41" fillId="13" borderId="1" applyAlignment="1" pivotButton="0" quotePrefix="0" xfId="0">
      <alignment horizontal="left" vertical="center"/>
    </xf>
    <xf numFmtId="1" fontId="32" fillId="18" borderId="1" applyAlignment="1" pivotButton="0" quotePrefix="0" xfId="0">
      <alignment horizontal="right" vertical="center"/>
    </xf>
    <xf numFmtId="168" fontId="42" fillId="5" borderId="1" applyAlignment="1" pivotButton="0" quotePrefix="0" xfId="0">
      <alignment horizontal="center" vertical="center"/>
    </xf>
    <xf numFmtId="164" fontId="42" fillId="5" borderId="1" applyAlignment="1" pivotButton="0" quotePrefix="0" xfId="0">
      <alignment horizontal="right" vertical="center"/>
    </xf>
    <xf numFmtId="169" fontId="42" fillId="5" borderId="1" applyAlignment="1" pivotButton="0" quotePrefix="0" xfId="0">
      <alignment horizontal="right" vertical="center"/>
    </xf>
    <xf numFmtId="0" fontId="42" fillId="5" borderId="1" applyAlignment="1" pivotButton="0" quotePrefix="0" xfId="0">
      <alignment horizontal="center" vertical="center"/>
    </xf>
    <xf numFmtId="168" fontId="42" fillId="6" borderId="1" applyAlignment="1" pivotButton="0" quotePrefix="0" xfId="0">
      <alignment horizontal="center" vertical="center"/>
    </xf>
    <xf numFmtId="164" fontId="42" fillId="6" borderId="1" applyAlignment="1" pivotButton="0" quotePrefix="0" xfId="0">
      <alignment horizontal="right" vertical="center"/>
    </xf>
    <xf numFmtId="169" fontId="42" fillId="6" borderId="1" applyAlignment="1" pivotButton="0" quotePrefix="0" xfId="0">
      <alignment horizontal="right" vertical="center"/>
    </xf>
    <xf numFmtId="49" fontId="42" fillId="6" borderId="1" applyAlignment="1" pivotButton="0" quotePrefix="0" xfId="0">
      <alignment horizontal="center" vertical="center"/>
    </xf>
    <xf numFmtId="49" fontId="42" fillId="5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9E6"/>
      <rgbColor rgb="FFFF00FF"/>
      <rgbColor rgb="FF00FFFF"/>
      <rgbColor rgb="FF131726"/>
      <rgbColor rgb="FF008000"/>
      <rgbColor rgb="FF0D1120"/>
      <rgbColor rgb="FF808000"/>
      <rgbColor rgb="FF1A2744"/>
      <rgbColor rgb="FF008080"/>
      <rgbColor rgb="FFA0AEC0"/>
      <rgbColor rgb="FF878787"/>
      <rgbColor rgb="FFF5F7FA"/>
      <rgbColor rgb="FF5D4037"/>
      <rgbColor rgb="FFFFF9C4"/>
      <rgbColor rgb="FFEBF5FB"/>
      <rgbColor rgb="FF1F2A40"/>
      <rgbColor rgb="FFF56565"/>
      <rgbColor rgb="FF0070C0"/>
      <rgbColor rgb="FFD9D9D9"/>
      <rgbColor rgb="FF0D1A2B"/>
      <rgbColor rgb="FFFF00FF"/>
      <rgbColor rgb="FFFFFFF5"/>
      <rgbColor rgb="FF00FFFF"/>
      <rgbColor rgb="FF800080"/>
      <rgbColor rgb="FF800000"/>
      <rgbColor rgb="FF008080"/>
      <rgbColor rgb="FF0000FF"/>
      <rgbColor rgb="FF00CCFF"/>
      <rgbColor rgb="FFEEF8EC"/>
      <rgbColor rgb="FFD4EFDF"/>
      <rgbColor rgb="FFFFFDE7"/>
      <rgbColor rgb="FFEEF2F7"/>
      <rgbColor rgb="FFFADBD8"/>
      <rgbColor rgb="FFF0F4FF"/>
      <rgbColor rgb="FFE8D5A3"/>
      <rgbColor rgb="FF4A7FFF"/>
      <rgbColor rgb="FF3ECF8E"/>
      <rgbColor rgb="FFF7F9FC"/>
      <rgbColor rgb="FFE8C96A"/>
      <rgbColor rgb="FFFFFEF5"/>
      <rgbColor rgb="FFFF6600"/>
      <rgbColor rgb="FF6B7A99"/>
      <rgbColor rgb="FFC9A84C"/>
      <rgbColor rgb="FF1A365D"/>
      <rgbColor rgb="FF339966"/>
      <rgbColor rgb="FF0D2B1E"/>
      <rgbColor rgb="FF2A2210"/>
      <rgbColor rgb="FF7B4F00"/>
      <rgbColor rgb="FF993366"/>
      <rgbColor rgb="FF1A5276"/>
      <rgbColor rgb="FF2D3748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lang="en-US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Wealth Projection vs Freedom Number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Projections!E7</f>
              <strCache>
                <ptCount val="1"/>
                <pt idx="0">
                  <v>Projected Corpus (₹)</v>
                </pt>
              </strCache>
            </strRef>
          </tx>
          <spPr>
            <a:solidFill xmlns:a="http://schemas.openxmlformats.org/drawingml/2006/main">
              <a:srgbClr val="c9a84c"/>
            </a:solidFill>
            <a:ln xmlns:a="http://schemas.openxmlformats.org/drawingml/2006/main" w="24840">
              <a:solidFill>
                <a:srgbClr val="c9a84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cat>
            <strRef>
              <f>Projections!$B$8:$B$68</f>
              <strCache>
                <ptCount val="61"/>
                <pt idx="0">
                  <v>30</v>
                </pt>
                <pt idx="1">
                  <v>31</v>
                </pt>
                <pt idx="2">
                  <v>32</v>
                </pt>
                <pt idx="3">
                  <v>33</v>
                </pt>
                <pt idx="4">
                  <v>34</v>
                </pt>
                <pt idx="5">
                  <v>35</v>
                </pt>
                <pt idx="6">
                  <v>36</v>
                </pt>
                <pt idx="7">
                  <v>37</v>
                </pt>
                <pt idx="8">
                  <v>38</v>
                </pt>
                <pt idx="9">
                  <v>39</v>
                </pt>
                <pt idx="10">
                  <v>40</v>
                </pt>
                <pt idx="11">
                  <v>41</v>
                </pt>
                <pt idx="12">
                  <v>42</v>
                </pt>
                <pt idx="13">
                  <v>43</v>
                </pt>
                <pt idx="14">
                  <v>44</v>
                </pt>
                <pt idx="15">
                  <v>45</v>
                </pt>
                <pt idx="16">
                  <v>46</v>
                </pt>
                <pt idx="17">
                  <v>47</v>
                </pt>
                <pt idx="18">
                  <v>48</v>
                </pt>
                <pt idx="19">
                  <v>49</v>
                </pt>
                <pt idx="20">
                  <v>50</v>
                </pt>
                <pt idx="21">
                  <v>51</v>
                </pt>
                <pt idx="22">
                  <v>52</v>
                </pt>
                <pt idx="23">
                  <v>53</v>
                </pt>
                <pt idx="24">
                  <v>54</v>
                </pt>
                <pt idx="25">
                  <v>55</v>
                </pt>
                <pt idx="26">
                  <v>56</v>
                </pt>
                <pt idx="27">
                  <v>57</v>
                </pt>
                <pt idx="28">
                  <v>58</v>
                </pt>
                <pt idx="29">
                  <v>59</v>
                </pt>
                <pt idx="30">
                  <v>60</v>
                </pt>
                <pt idx="31">
                  <v>61</v>
                </pt>
                <pt idx="32">
                  <v>62</v>
                </pt>
                <pt idx="33">
                  <v>63</v>
                </pt>
                <pt idx="34">
                  <v>64</v>
                </pt>
                <pt idx="35">
                  <v>65</v>
                </pt>
                <pt idx="36">
                  <v>66</v>
                </pt>
                <pt idx="37">
                  <v>67</v>
                </pt>
                <pt idx="38">
                  <v>68</v>
                </pt>
                <pt idx="39">
                  <v>69</v>
                </pt>
                <pt idx="40">
                  <v>70</v>
                </pt>
                <pt idx="41">
                  <v>71</v>
                </pt>
                <pt idx="42">
                  <v>72</v>
                </pt>
                <pt idx="43">
                  <v>73</v>
                </pt>
                <pt idx="44">
                  <v>74</v>
                </pt>
                <pt idx="45">
                  <v>75</v>
                </pt>
                <pt idx="46">
                  <v>76</v>
                </pt>
                <pt idx="47">
                  <v>77</v>
                </pt>
                <pt idx="48">
                  <v>78</v>
                </pt>
                <pt idx="49">
                  <v>79</v>
                </pt>
                <pt idx="50">
                  <v>80</v>
                </pt>
                <pt idx="51">
                  <v>81</v>
                </pt>
                <pt idx="52">
                  <v>82</v>
                </pt>
                <pt idx="53">
                  <v>83</v>
                </pt>
                <pt idx="54">
                  <v>84</v>
                </pt>
                <pt idx="55">
                  <v>85</v>
                </pt>
                <pt idx="56">
                  <v>86</v>
                </pt>
                <pt idx="57">
                  <v>87</v>
                </pt>
                <pt idx="58">
                  <v>88</v>
                </pt>
                <pt idx="59">
                  <v>89</v>
                </pt>
                <pt idx="60">
                  <v>90</v>
                </pt>
              </strCache>
            </strRef>
          </cat>
          <val>
            <numRef>
              <f>Projections!$E$8:$E$68</f>
              <numCache>
                <formatCode>\₹#,##0;"(₹"#,##0\);\-</formatCode>
                <ptCount val="61"/>
                <pt idx="0">
                  <v>760000</v>
                </pt>
                <pt idx="1">
                  <v>1166850</v>
                </pt>
                <pt idx="2">
                  <v>1611628.05592105</v>
                </pt>
                <pt idx="3">
                  <v>2097869.96087106</v>
                </pt>
                <pt idx="4">
                  <v>2629441.12761805</v>
                </pt>
                <pt idx="5">
                  <v>3210567.31694929</v>
                </pt>
                <pt idx="6">
                  <v>3845868.23064121</v>
                </pt>
                <pt idx="7">
                  <v>4540394.2360898</v>
                </pt>
                <pt idx="8">
                  <v>5299666.51454633</v>
                </pt>
                <pt idx="9">
                  <v>6129720.9521195</v>
                </pt>
                <pt idx="10">
                  <v>7037156.12245853</v>
                </pt>
                <pt idx="11">
                  <v>8029185.74255878</v>
                </pt>
                <pt idx="12">
                  <v>9113696.018690741</v>
                </pt>
                <pt idx="13">
                  <v>10299308.3383279</v>
                </pt>
                <pt idx="14">
                  <v>11595447.806447</v>
                </pt>
                <pt idx="15">
                  <v>13012418.1710349</v>
                </pt>
                <pt idx="16">
                  <v>14561483.7334267</v>
                </pt>
                <pt idx="17">
                  <v>16254958.8946284</v>
                </pt>
                <pt idx="18">
                  <v>18106306.0494764</v>
                </pt>
                <pt idx="19">
                  <v>20130242.6068519</v>
                </pt>
                <pt idx="20">
                  <v>22342857.9867143</v>
                </pt>
                <pt idx="21">
                  <v>24761741.5240284</v>
                </pt>
                <pt idx="22">
                  <v>27406122.2963671</v>
                </pt>
                <pt idx="23">
                  <v>30297021.9867587</v>
                </pt>
                <pt idx="24">
                  <v>33457421.9969717</v>
                </pt>
                <pt idx="25">
                  <v>36912446.1397157</v>
                </pt>
                <pt idx="26">
                  <v>40689560.3620826</v>
                </pt>
                <pt idx="27">
                  <v>44818791.0879425</v>
                </pt>
                <pt idx="28">
                  <v>49332963.9150224</v>
                </pt>
                <pt idx="29">
                  <v>54267964.5642058</v>
                </pt>
                <pt idx="30">
                  <v>59663024.1554873</v>
                </pt>
                <pt idx="31">
                  <v>65561031.0784035</v>
                </pt>
                <pt idx="32">
                  <v>72008871.9361731</v>
                </pt>
                <pt idx="33">
                  <v>79057804.2739071</v>
                </pt>
                <pt idx="34">
                  <v>86763864.0539154</v>
                </pt>
                <pt idx="35">
                  <v>95188311.1173626</v>
                </pt>
                <pt idx="36">
                  <v>104398116.173501</v>
                </pt>
                <pt idx="37">
                  <v>114466493.187833</v>
                </pt>
                <pt idx="38">
                  <v>125473481.401462</v>
                </pt>
                <pt idx="39">
                  <v>137506581.608427</v>
                </pt>
                <pt idx="40">
                  <v>150661451.74916</v>
                </pt>
                <pt idx="41">
                  <v>165042667.349724</v>
                </pt>
                <pt idx="42">
                  <v>180764552.851997</v>
                </pt>
                <pt idx="43">
                  <v>197952090.443529</v>
                </pt>
                <pt idx="44">
                  <v>216741913.61185</v>
                </pt>
                <pt idx="45">
                  <v>237283393.321586</v>
                </pt>
                <pt idx="46">
                  <v>259739825.449</v>
                </pt>
                <pt idx="47">
                  <v>284289728.913555</v>
                </pt>
                <pt idx="48">
                  <v>311128264.826088</v>
                </pt>
                <pt idx="49">
                  <v>340468787.935204</v>
                </pt>
                <pt idx="50">
                  <v>372544542.705216</v>
                </pt>
                <pt idx="51">
                  <v>407610517.508722</v>
                </pt>
                <pt idx="52">
                  <v>445945471.673845</v>
                </pt>
                <pt idx="53">
                  <v>487854151.500281</v>
                </pt>
                <pt idx="54">
                  <v>533669712.860538</v>
                </pt>
                <pt idx="55">
                  <v>583756369.644971</v>
                </pt>
                <pt idx="56">
                  <v>638512289.104637</v>
                </pt>
                <pt idx="57">
                  <v>698372757.108668</v>
                </pt>
                <pt idx="58">
                  <v>763813638.478601</v>
                </pt>
                <pt idx="59">
                  <v>835355159.907823</v>
                </pt>
                <pt idx="60">
                  <v>913566045.538704</v>
                </pt>
              </numCache>
            </numRef>
          </val>
          <smooth val="1"/>
        </ser>
        <ser>
          <idx val="1"/>
          <order val="1"/>
          <tx>
            <strRef>
              <f>Projections!F7</f>
              <strCache>
                <ptCount val="1"/>
                <pt idx="0">
                  <v>Freedom Number (₹)</v>
                </pt>
              </strCache>
            </strRef>
          </tx>
          <spPr>
            <a:solidFill xmlns:a="http://schemas.openxmlformats.org/drawingml/2006/main">
              <a:srgbClr val="3ecf8e"/>
            </a:solidFill>
            <a:ln xmlns:a="http://schemas.openxmlformats.org/drawingml/2006/main" w="20160">
              <a:solidFill>
                <a:srgbClr val="3ecf8e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cat>
            <strRef>
              <f>Projections!$B$8:$B$68</f>
              <strCache>
                <ptCount val="61"/>
                <pt idx="0">
                  <v>30</v>
                </pt>
                <pt idx="1">
                  <v>31</v>
                </pt>
                <pt idx="2">
                  <v>32</v>
                </pt>
                <pt idx="3">
                  <v>33</v>
                </pt>
                <pt idx="4">
                  <v>34</v>
                </pt>
                <pt idx="5">
                  <v>35</v>
                </pt>
                <pt idx="6">
                  <v>36</v>
                </pt>
                <pt idx="7">
                  <v>37</v>
                </pt>
                <pt idx="8">
                  <v>38</v>
                </pt>
                <pt idx="9">
                  <v>39</v>
                </pt>
                <pt idx="10">
                  <v>40</v>
                </pt>
                <pt idx="11">
                  <v>41</v>
                </pt>
                <pt idx="12">
                  <v>42</v>
                </pt>
                <pt idx="13">
                  <v>43</v>
                </pt>
                <pt idx="14">
                  <v>44</v>
                </pt>
                <pt idx="15">
                  <v>45</v>
                </pt>
                <pt idx="16">
                  <v>46</v>
                </pt>
                <pt idx="17">
                  <v>47</v>
                </pt>
                <pt idx="18">
                  <v>48</v>
                </pt>
                <pt idx="19">
                  <v>49</v>
                </pt>
                <pt idx="20">
                  <v>50</v>
                </pt>
                <pt idx="21">
                  <v>51</v>
                </pt>
                <pt idx="22">
                  <v>52</v>
                </pt>
                <pt idx="23">
                  <v>53</v>
                </pt>
                <pt idx="24">
                  <v>54</v>
                </pt>
                <pt idx="25">
                  <v>55</v>
                </pt>
                <pt idx="26">
                  <v>56</v>
                </pt>
                <pt idx="27">
                  <v>57</v>
                </pt>
                <pt idx="28">
                  <v>58</v>
                </pt>
                <pt idx="29">
                  <v>59</v>
                </pt>
                <pt idx="30">
                  <v>60</v>
                </pt>
                <pt idx="31">
                  <v>61</v>
                </pt>
                <pt idx="32">
                  <v>62</v>
                </pt>
                <pt idx="33">
                  <v>63</v>
                </pt>
                <pt idx="34">
                  <v>64</v>
                </pt>
                <pt idx="35">
                  <v>65</v>
                </pt>
                <pt idx="36">
                  <v>66</v>
                </pt>
                <pt idx="37">
                  <v>67</v>
                </pt>
                <pt idx="38">
                  <v>68</v>
                </pt>
                <pt idx="39">
                  <v>69</v>
                </pt>
                <pt idx="40">
                  <v>70</v>
                </pt>
                <pt idx="41">
                  <v>71</v>
                </pt>
                <pt idx="42">
                  <v>72</v>
                </pt>
                <pt idx="43">
                  <v>73</v>
                </pt>
                <pt idx="44">
                  <v>74</v>
                </pt>
                <pt idx="45">
                  <v>75</v>
                </pt>
                <pt idx="46">
                  <v>76</v>
                </pt>
                <pt idx="47">
                  <v>77</v>
                </pt>
                <pt idx="48">
                  <v>78</v>
                </pt>
                <pt idx="49">
                  <v>79</v>
                </pt>
                <pt idx="50">
                  <v>80</v>
                </pt>
                <pt idx="51">
                  <v>81</v>
                </pt>
                <pt idx="52">
                  <v>82</v>
                </pt>
                <pt idx="53">
                  <v>83</v>
                </pt>
                <pt idx="54">
                  <v>84</v>
                </pt>
                <pt idx="55">
                  <v>85</v>
                </pt>
                <pt idx="56">
                  <v>86</v>
                </pt>
                <pt idx="57">
                  <v>87</v>
                </pt>
                <pt idx="58">
                  <v>88</v>
                </pt>
                <pt idx="59">
                  <v>89</v>
                </pt>
                <pt idx="60">
                  <v>90</v>
                </pt>
              </strCache>
            </strRef>
          </cat>
          <val>
            <numRef>
              <f>Projections!$F$8:$F$68</f>
              <numCache>
                <formatCode>\₹#,##0;"(₹"#,##0\);\-</formatCode>
                <ptCount val="61"/>
                <pt idx="0">
                  <v>74171859.88724621</v>
                </pt>
                <pt idx="1">
                  <v>74171859.88724621</v>
                </pt>
                <pt idx="2">
                  <v>74171859.88724621</v>
                </pt>
                <pt idx="3">
                  <v>74171859.88724621</v>
                </pt>
                <pt idx="4">
                  <v>74171859.88724621</v>
                </pt>
                <pt idx="5">
                  <v>74171859.88724621</v>
                </pt>
                <pt idx="6">
                  <v>74171859.88724621</v>
                </pt>
                <pt idx="7">
                  <v>74171859.88724621</v>
                </pt>
                <pt idx="8">
                  <v>74171859.88724621</v>
                </pt>
                <pt idx="9">
                  <v>74171859.88724621</v>
                </pt>
                <pt idx="10">
                  <v>74171859.88724621</v>
                </pt>
                <pt idx="11">
                  <v>74171859.88724621</v>
                </pt>
                <pt idx="12">
                  <v>74171859.88724621</v>
                </pt>
                <pt idx="13">
                  <v>74171859.88724621</v>
                </pt>
                <pt idx="14">
                  <v>74171859.88724621</v>
                </pt>
                <pt idx="15">
                  <v>74171859.88724621</v>
                </pt>
                <pt idx="16">
                  <v>74171859.88724621</v>
                </pt>
                <pt idx="17">
                  <v>74171859.88724621</v>
                </pt>
                <pt idx="18">
                  <v>74171859.88724621</v>
                </pt>
                <pt idx="19">
                  <v>74171859.88724621</v>
                </pt>
                <pt idx="20">
                  <v>74171859.88724621</v>
                </pt>
                <pt idx="21">
                  <v>74171859.88724621</v>
                </pt>
                <pt idx="22">
                  <v>74171859.88724621</v>
                </pt>
                <pt idx="23">
                  <v>74171859.88724621</v>
                </pt>
                <pt idx="24">
                  <v>74171859.88724621</v>
                </pt>
                <pt idx="25">
                  <v>74171859.88724621</v>
                </pt>
                <pt idx="26">
                  <v>74171859.88724621</v>
                </pt>
                <pt idx="27">
                  <v>74171859.88724621</v>
                </pt>
                <pt idx="28">
                  <v>74171859.88724621</v>
                </pt>
                <pt idx="29">
                  <v>74171859.88724621</v>
                </pt>
                <pt idx="30">
                  <v>74171859.88724621</v>
                </pt>
                <pt idx="31">
                  <v>74171859.88724621</v>
                </pt>
                <pt idx="32">
                  <v>74171859.88724621</v>
                </pt>
                <pt idx="33">
                  <v>74171859.88724621</v>
                </pt>
                <pt idx="34">
                  <v>74171859.88724621</v>
                </pt>
                <pt idx="35">
                  <v>74171859.88724621</v>
                </pt>
                <pt idx="36">
                  <v>74171859.88724621</v>
                </pt>
                <pt idx="37">
                  <v>74171859.88724621</v>
                </pt>
                <pt idx="38">
                  <v>74171859.88724621</v>
                </pt>
                <pt idx="39">
                  <v>74171859.88724621</v>
                </pt>
                <pt idx="40">
                  <v>74171859.88724621</v>
                </pt>
                <pt idx="41">
                  <v>74171859.88724621</v>
                </pt>
                <pt idx="42">
                  <v>74171859.88724621</v>
                </pt>
                <pt idx="43">
                  <v>74171859.88724621</v>
                </pt>
                <pt idx="44">
                  <v>74171859.88724621</v>
                </pt>
                <pt idx="45">
                  <v>74171859.88724621</v>
                </pt>
                <pt idx="46">
                  <v>74171859.88724621</v>
                </pt>
                <pt idx="47">
                  <v>74171859.88724621</v>
                </pt>
                <pt idx="48">
                  <v>74171859.88724621</v>
                </pt>
                <pt idx="49">
                  <v>74171859.88724621</v>
                </pt>
                <pt idx="50">
                  <v>74171859.88724621</v>
                </pt>
                <pt idx="51">
                  <v>74171859.88724621</v>
                </pt>
                <pt idx="52">
                  <v>74171859.88724621</v>
                </pt>
                <pt idx="53">
                  <v>74171859.88724621</v>
                </pt>
                <pt idx="54">
                  <v>74171859.88724621</v>
                </pt>
                <pt idx="55">
                  <v>74171859.88724621</v>
                </pt>
                <pt idx="56">
                  <v>74171859.88724621</v>
                </pt>
                <pt idx="57">
                  <v>74171859.88724621</v>
                </pt>
                <pt idx="58">
                  <v>74171859.88724621</v>
                </pt>
                <pt idx="59">
                  <v>74171859.88724621</v>
                </pt>
                <pt idx="60">
                  <v>74171859.88724621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43587667"/>
        <axId val="75284879"/>
      </lineChart>
      <catAx>
        <axId val="43587667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Year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;\(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5284879"/>
        <crosses val="autoZero"/>
        <auto val="1"/>
        <lblAlgn val="ctr"/>
        <lblOffset val="100"/>
        <noMultiLvlLbl val="0"/>
      </catAx>
      <valAx>
        <axId val="75284879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Corpus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\₹#,##0;&quot;(₹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4358766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7</col>
      <colOff>729000</colOff>
      <row>94</row>
      <rowOff>85680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1:G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421875" defaultRowHeight="15" zeroHeight="0" outlineLevelRow="0"/>
  <cols>
    <col width="2.02" customWidth="1" style="114" min="1" max="1"/>
    <col width="18.03" customWidth="1" style="114" min="2" max="2"/>
    <col width="16.01" customWidth="1" style="114" min="3" max="7"/>
    <col width="2.02" customWidth="1" style="114" min="8" max="8"/>
  </cols>
  <sheetData>
    <row r="1" ht="18" customHeight="1" s="115">
      <c r="B1" s="116" t="inlineStr">
        <is>
          <t>✦  FINANCIAL FREEDOM CALCULATOR</t>
        </is>
      </c>
    </row>
    <row r="2" ht="18" customHeight="1" s="115"/>
    <row r="3" ht="18" customHeight="1" s="115"/>
    <row r="4" ht="18" customHeight="1" s="115">
      <c r="B4" s="117" t="inlineStr">
        <is>
          <t>Your path to financial independence — update Profile, Inputs, Investments &amp; Life Events sheets</t>
        </is>
      </c>
    </row>
    <row r="5" ht="7.5" customHeight="1" s="115"/>
    <row r="6" ht="21.75" customHeight="1" s="115">
      <c r="B6" s="118" t="inlineStr">
        <is>
          <t>Freedom Number</t>
        </is>
      </c>
      <c r="C6" s="118" t="inlineStr">
        <is>
          <t>Current Net Worth</t>
        </is>
      </c>
      <c r="D6" s="118" t="inlineStr">
        <is>
          <t>Years to Freedom</t>
        </is>
      </c>
      <c r="E6" s="118" t="inlineStr">
        <is>
          <t>Freedom Age</t>
        </is>
      </c>
      <c r="F6" s="118" t="inlineStr">
        <is>
          <t>Monthly Surplus</t>
        </is>
      </c>
      <c r="G6" s="118" t="inlineStr">
        <is>
          <t>Progress %</t>
        </is>
      </c>
    </row>
    <row r="7" ht="27.75" customHeight="1" s="115">
      <c r="B7" s="119">
        <f>Profile!C30</f>
        <v/>
      </c>
      <c r="C7" s="119">
        <f>Profile!C33</f>
        <v/>
      </c>
      <c r="D7" s="120">
        <f>Profile!C35</f>
        <v/>
      </c>
      <c r="E7" s="121">
        <f>Profile!C36</f>
        <v/>
      </c>
      <c r="F7" s="119">
        <f>'Income &amp; Spend'!G5</f>
        <v/>
      </c>
      <c r="G7" s="122">
        <f>IF(Profile!C30&gt;0,MIN(1,Investments!B38/Profile!C30),0)</f>
        <v/>
      </c>
    </row>
    <row r="8" ht="15.75" customHeight="1" s="115">
      <c r="B8" s="123" t="inlineStr">
        <is>
          <t>Target Corpus</t>
        </is>
      </c>
      <c r="C8" s="123" t="inlineStr">
        <is>
          <t>Assets − Liabilities</t>
        </is>
      </c>
      <c r="D8" s="123" t="inlineStr">
        <is>
          <t>At current savings rate</t>
        </is>
      </c>
      <c r="E8" s="123" t="inlineStr">
        <is>
          <t>When you reach corpus</t>
        </is>
      </c>
      <c r="F8" s="123" t="inlineStr">
        <is>
          <t>After all expenses &amp; SIPs</t>
        </is>
      </c>
      <c r="G8" s="123" t="inlineStr">
        <is>
          <t>Corpus achieved so far</t>
        </is>
      </c>
    </row>
    <row r="9" ht="7.5" customHeight="1" s="115"/>
    <row r="10" ht="18" customHeight="1" s="115">
      <c r="B10" s="124" t="inlineStr">
        <is>
          <t>💰  MONTHLY CASH FLOW</t>
        </is>
      </c>
      <c r="C10" s="125" t="n"/>
      <c r="D10" s="126" t="n"/>
      <c r="E10" s="124" t="inlineStr">
        <is>
          <t>🏦  BALANCE SHEET</t>
        </is>
      </c>
      <c r="F10" s="125" t="n"/>
      <c r="G10" s="126" t="n"/>
    </row>
    <row r="11" ht="18.75" customHeight="1" s="115">
      <c r="B11" s="127" t="inlineStr">
        <is>
          <t>Total Monthly Income</t>
        </is>
      </c>
      <c r="C11" s="128">
        <f>'Income &amp; Spend'!G3</f>
        <v/>
      </c>
      <c r="D11" s="129" t="n"/>
      <c r="E11" s="127" t="inlineStr">
        <is>
          <t>Investment Portfolio</t>
        </is>
      </c>
      <c r="F11" s="128">
        <f>Investments!B38</f>
        <v/>
      </c>
      <c r="G11" s="129" t="n"/>
    </row>
    <row r="12" ht="18.75" customHeight="1" s="115">
      <c r="B12" s="130" t="inlineStr">
        <is>
          <t>Total Monthly Expenses</t>
        </is>
      </c>
      <c r="C12" s="131">
        <f>'Income &amp; Spend'!G4</f>
        <v/>
      </c>
      <c r="D12" s="132" t="n"/>
      <c r="E12" s="130" t="inlineStr">
        <is>
          <t>Property Value</t>
        </is>
      </c>
      <c r="F12" s="131">
        <f>IF('Assets &amp; Liabilities'!C4="Own",'Assets &amp; Liabilities'!C6,0)</f>
        <v/>
      </c>
      <c r="G12" s="132" t="n"/>
    </row>
    <row r="13" ht="18.75" customHeight="1" s="115">
      <c r="B13" s="127" t="inlineStr">
        <is>
          <t>Total EMIs</t>
        </is>
      </c>
      <c r="C13" s="128">
        <f>'Assets &amp; Liabilities'!B42</f>
        <v/>
      </c>
      <c r="D13" s="129" t="n"/>
      <c r="E13" s="127" t="inlineStr">
        <is>
          <t>Other Assets</t>
        </is>
      </c>
      <c r="F13" s="128">
        <f>'Assets &amp; Liabilities'!B20</f>
        <v/>
      </c>
      <c r="G13" s="129" t="n"/>
    </row>
    <row r="14" ht="18.75" customHeight="1" s="115">
      <c r="B14" s="130" t="inlineStr">
        <is>
          <t>Total Monthly SIPs</t>
        </is>
      </c>
      <c r="C14" s="131">
        <f>Investments!B36</f>
        <v/>
      </c>
      <c r="D14" s="132" t="n"/>
      <c r="E14" s="130" t="inlineStr">
        <is>
          <t>Total Liabilities</t>
        </is>
      </c>
      <c r="F14" s="133">
        <f>'Assets &amp; Liabilities'!B43</f>
        <v/>
      </c>
      <c r="G14" s="132" t="n"/>
    </row>
    <row r="15" ht="18.75" customHeight="1" s="115">
      <c r="B15" s="127" t="inlineStr">
        <is>
          <t>Net Monthly Surplus</t>
        </is>
      </c>
      <c r="C15" s="134">
        <f>'Income &amp; Spend'!G5</f>
        <v/>
      </c>
      <c r="D15" s="129" t="n"/>
      <c r="E15" s="127" t="inlineStr">
        <is>
          <t>Net Worth</t>
        </is>
      </c>
      <c r="F15" s="134">
        <f>Profile!C33</f>
        <v/>
      </c>
      <c r="G15" s="129" t="n"/>
    </row>
    <row r="16" ht="7.5" customHeight="1" s="115"/>
    <row r="17" ht="18" customHeight="1" s="115">
      <c r="B17" s="124" t="inlineStr">
        <is>
          <t>🌅  POST-FREEDOM CASHFLOW</t>
        </is>
      </c>
      <c r="C17" s="125" t="n"/>
      <c r="D17" s="126" t="n"/>
      <c r="E17" s="124" t="inlineStr">
        <is>
          <t>🎯  LIFE EVENTS IMPACT</t>
        </is>
      </c>
      <c r="F17" s="125" t="n"/>
      <c r="G17" s="126" t="n"/>
    </row>
    <row r="18" ht="18.75" customHeight="1" s="115">
      <c r="B18" s="127" t="inlineStr">
        <is>
          <t>Monthly Expenses (post-FI)</t>
        </is>
      </c>
      <c r="C18" s="128">
        <f>'Income &amp; Spend'!H4</f>
        <v/>
      </c>
      <c r="D18" s="129" t="n"/>
      <c r="E18" s="127" t="inlineStr">
        <is>
          <t>Marriage Cost (inflated)</t>
        </is>
      </c>
      <c r="F18" s="128">
        <f>'Life Events'!E4</f>
        <v/>
      </c>
      <c r="G18" s="129" t="n"/>
    </row>
    <row r="19" ht="18.75" customHeight="1" s="115">
      <c r="B19" s="130" t="inlineStr">
        <is>
          <t>Passive / Part-time Income</t>
        </is>
      </c>
      <c r="C19" s="131">
        <f>'Income &amp; Spend'!G12</f>
        <v/>
      </c>
      <c r="D19" s="132" t="n"/>
      <c r="E19" s="130" t="inlineStr">
        <is>
          <t>Kids Education (total)</t>
        </is>
      </c>
      <c r="F19" s="131">
        <f>'Life Events'!E15</f>
        <v/>
      </c>
      <c r="G19" s="132" t="n"/>
    </row>
    <row r="20" ht="18.75" customHeight="1" s="115">
      <c r="B20" s="127" t="inlineStr">
        <is>
          <t>Net Monthly Withdrawal</t>
        </is>
      </c>
      <c r="C20" s="128">
        <f>MAX(0,'📊 Dashboard'!C18-'📊 Dashboard'!C19)</f>
        <v/>
      </c>
      <c r="D20" s="129" t="n"/>
      <c r="E20" s="127" t="inlineStr">
        <is>
          <t>Custom Goals (total)</t>
        </is>
      </c>
      <c r="F20" s="128">
        <f>'Life Events'!E28</f>
        <v/>
      </c>
      <c r="G20" s="129" t="n"/>
    </row>
    <row r="21" ht="18.75" customHeight="1" s="115">
      <c r="B21" s="130" t="inlineStr">
        <is>
          <t>Annual Withdrawal Needed</t>
        </is>
      </c>
      <c r="C21" s="131">
        <f>'📊 Dashboard'!C20*12</f>
        <v/>
      </c>
      <c r="D21" s="132" t="n"/>
      <c r="E21" s="130" t="inlineStr">
        <is>
          <t>Total Life Event Impact</t>
        </is>
      </c>
      <c r="F21" s="135">
        <f>'Life Events'!E30</f>
        <v/>
      </c>
      <c r="G21" s="132" t="n"/>
    </row>
    <row r="22" ht="18.75" customHeight="1" s="115">
      <c r="B22" s="127" t="inlineStr">
        <is>
          <t>Safe Corpus (SWR based)</t>
        </is>
      </c>
      <c r="C22" s="136">
        <f>Profile!C30</f>
        <v/>
      </c>
      <c r="D22" s="129" t="n"/>
      <c r="E22" s="127" t="inlineStr">
        <is>
          <t>Adj. Freedom Number</t>
        </is>
      </c>
      <c r="F22" s="136">
        <f>Profile!B31</f>
        <v/>
      </c>
      <c r="G22" s="129" t="n"/>
    </row>
    <row r="23" ht="7.5" customHeight="1" s="115"/>
    <row r="24" ht="18" customHeight="1" s="115">
      <c r="B24" s="137" t="inlineStr">
        <is>
          <t>📌  HOW TO USE THIS CALCULATOR</t>
        </is>
      </c>
      <c r="C24" s="125" t="n"/>
      <c r="D24" s="125" t="n"/>
      <c r="E24" s="125" t="n"/>
      <c r="F24" s="125" t="n"/>
      <c r="G24" s="126" t="n"/>
    </row>
    <row r="25" ht="18" customHeight="1" s="115">
      <c r="B25" s="138" t="inlineStr">
        <is>
          <t>1️⃣  Profile Sheet</t>
        </is>
      </c>
      <c r="C25" s="139" t="inlineStr">
        <is>
          <t>Set your age, target freedom age, currency, inflation &amp; SWR rate</t>
        </is>
      </c>
      <c r="D25" s="140" t="n"/>
      <c r="E25" s="140" t="n"/>
      <c r="F25" s="140" t="n"/>
      <c r="G25" s="141" t="n"/>
    </row>
    <row r="26" ht="18" customHeight="1" s="115">
      <c r="B26" s="142" t="inlineStr">
        <is>
          <t>2️⃣  Income &amp; Spend</t>
        </is>
      </c>
      <c r="C26" s="143" t="inlineStr">
        <is>
          <t>Enter current &amp; post-freedom monthly income and expenses</t>
        </is>
      </c>
      <c r="D26" s="140" t="n"/>
      <c r="E26" s="140" t="n"/>
      <c r="F26" s="140" t="n"/>
      <c r="G26" s="141" t="n"/>
    </row>
    <row r="27" ht="18" customHeight="1" s="115">
      <c r="B27" s="138" t="inlineStr">
        <is>
          <t>3️⃣  Assets &amp; Liabilities</t>
        </is>
      </c>
      <c r="C27" s="139" t="inlineStr">
        <is>
          <t>Add your home (own/rent), other assets, loans and EMIs</t>
        </is>
      </c>
      <c r="D27" s="140" t="n"/>
      <c r="E27" s="140" t="n"/>
      <c r="F27" s="140" t="n"/>
      <c r="G27" s="141" t="n"/>
    </row>
    <row r="28" ht="18" customHeight="1" s="115">
      <c r="B28" s="142" t="inlineStr">
        <is>
          <t>4️⃣  Investments</t>
        </is>
      </c>
      <c r="C28" s="143" t="inlineStr">
        <is>
          <t>Add each investment with current value, monthly SIP and XIRR</t>
        </is>
      </c>
      <c r="D28" s="140" t="n"/>
      <c r="E28" s="140" t="n"/>
      <c r="F28" s="140" t="n"/>
      <c r="G28" s="141" t="n"/>
    </row>
    <row r="29" ht="18" customHeight="1" s="115">
      <c r="B29" s="138" t="inlineStr">
        <is>
          <t>5️⃣  Life Events</t>
        </is>
      </c>
      <c r="C29" s="139" t="inlineStr">
        <is>
          <t>Plan marriage, children, education and custom goals</t>
        </is>
      </c>
      <c r="D29" s="140" t="n"/>
      <c r="E29" s="140" t="n"/>
      <c r="F29" s="140" t="n"/>
      <c r="G29" s="141" t="n"/>
    </row>
    <row r="30" ht="18" customHeight="1" s="115">
      <c r="B30" s="142" t="inlineStr">
        <is>
          <t>6️⃣  Projections</t>
        </is>
      </c>
      <c r="C30" s="143" t="inlineStr">
        <is>
          <t>View year-by-year wealth chart and corpus projection</t>
        </is>
      </c>
      <c r="D30" s="140" t="n"/>
      <c r="E30" s="140" t="n"/>
      <c r="F30" s="140" t="n"/>
      <c r="G30" s="141" t="n"/>
    </row>
    <row r="31" ht="18" customHeight="1" s="115"/>
    <row r="32" ht="7.5" customHeight="1" s="115"/>
    <row r="33" ht="18" customHeight="1" s="115">
      <c r="B33" s="144" t="inlineStr">
        <is>
          <t>🎨  COLOR KEY</t>
        </is>
      </c>
      <c r="C33" s="125" t="n"/>
      <c r="D33" s="125" t="n"/>
      <c r="E33" s="126" t="n"/>
    </row>
    <row r="34" ht="16.5" customHeight="1" s="115">
      <c r="B34" s="145" t="inlineStr">
        <is>
          <t>Blue text</t>
        </is>
      </c>
      <c r="C34" s="146" t="inlineStr">
        <is>
          <t>User input / hardcoded values — change these</t>
        </is>
      </c>
      <c r="D34" s="125" t="n"/>
      <c r="E34" s="125" t="n"/>
      <c r="F34" s="126" t="n"/>
    </row>
    <row r="35" ht="16.5" customHeight="1" s="115">
      <c r="B35" s="147" t="inlineStr">
        <is>
          <t>Black text</t>
        </is>
      </c>
      <c r="C35" s="146" t="inlineStr">
        <is>
          <t>Calculated formulas — do not edit</t>
        </is>
      </c>
      <c r="D35" s="125" t="n"/>
      <c r="E35" s="125" t="n"/>
      <c r="F35" s="126" t="n"/>
    </row>
    <row r="36" ht="16.5" customHeight="1" s="115">
      <c r="B36" s="148" t="inlineStr">
        <is>
          <t>Green text</t>
        </is>
      </c>
      <c r="C36" s="146" t="inlineStr">
        <is>
          <t>Cross-sheet links</t>
        </is>
      </c>
      <c r="D36" s="125" t="n"/>
      <c r="E36" s="125" t="n"/>
      <c r="F36" s="126" t="n"/>
    </row>
    <row r="37" ht="16.5" customHeight="1" s="115">
      <c r="B37" s="149" t="inlineStr">
        <is>
          <t>Yellow background</t>
        </is>
      </c>
      <c r="C37" s="150" t="inlineStr">
        <is>
          <t>Key assumptions to review</t>
        </is>
      </c>
      <c r="D37" s="125" t="n"/>
      <c r="E37" s="125" t="n"/>
      <c r="F37" s="126" t="n"/>
    </row>
    <row r="38" ht="18" customHeight="1" s="115"/>
    <row r="39" ht="18" customHeight="1" s="115"/>
    <row r="40" ht="18" customHeight="1" s="115"/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</sheetData>
  <mergeCells count="18">
    <mergeCell ref="B10:D10"/>
    <mergeCell ref="B24:G24"/>
    <mergeCell ref="E10:G10"/>
    <mergeCell ref="C29:G29"/>
    <mergeCell ref="C30:G30"/>
    <mergeCell ref="C35:F35"/>
    <mergeCell ref="C34:F34"/>
    <mergeCell ref="C25:G25"/>
    <mergeCell ref="B17:D17"/>
    <mergeCell ref="C27:G27"/>
    <mergeCell ref="B4:G4"/>
    <mergeCell ref="E17:G17"/>
    <mergeCell ref="B1:G3"/>
    <mergeCell ref="C28:G28"/>
    <mergeCell ref="B33:E33"/>
    <mergeCell ref="C37:F37"/>
    <mergeCell ref="C36:F36"/>
    <mergeCell ref="C26:G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1:E36"/>
  <sheetViews>
    <sheetView showFormulas="0" showGridLines="0" showRowColHeaders="1" showZeros="1" rightToLeft="0" tabSelected="0" showOutlineSymbols="1" defaultGridColor="1" view="normal" topLeftCell="D10" colorId="64" zoomScale="100" zoomScaleNormal="100" zoomScalePageLayoutView="100" workbookViewId="0">
      <selection pane="topLeft" activeCell="A1" activeCellId="0" sqref="A1"/>
    </sheetView>
  </sheetViews>
  <sheetFormatPr baseColWidth="8" defaultColWidth="8.7421875" defaultRowHeight="15" zeroHeight="0" outlineLevelRow="0"/>
  <cols>
    <col width="2.02" customWidth="1" style="114" min="1" max="1"/>
    <col width="27.98" customWidth="1" style="114" min="2" max="2"/>
    <col width="20.05" customWidth="1" style="114" min="3" max="3"/>
    <col width="27.98" customWidth="1" style="114" min="4" max="4"/>
    <col width="20.05" customWidth="1" style="114" min="5" max="5"/>
    <col width="2.02" customWidth="1" style="114" min="6" max="6"/>
  </cols>
  <sheetData>
    <row r="1" ht="18.75" customHeight="1" s="115">
      <c r="B1" s="151" t="inlineStr">
        <is>
          <t>👤  PROFILE &amp; ASSUMPTIONS</t>
        </is>
      </c>
    </row>
    <row r="2" ht="18.75" customHeight="1" s="115"/>
    <row r="3" ht="18.75" customHeight="1" s="115">
      <c r="B3" s="124" t="inlineStr">
        <is>
          <t>PERSONAL DETAILS</t>
        </is>
      </c>
      <c r="C3" s="125" t="n"/>
      <c r="D3" s="125" t="n"/>
      <c r="E3" s="126" t="n"/>
    </row>
    <row r="4" ht="18.75" customHeight="1" s="115">
      <c r="B4" s="146" t="inlineStr">
        <is>
          <t>Current Age (years)</t>
        </is>
      </c>
      <c r="C4" s="152" t="n">
        <v>30</v>
      </c>
      <c r="D4" s="153" t="inlineStr">
        <is>
          <t>Enter your age today</t>
        </is>
      </c>
      <c r="E4" s="125" t="n"/>
    </row>
    <row r="5" ht="18.75" customHeight="1" s="115">
      <c r="B5" s="146" t="inlineStr">
        <is>
          <t>Target Freedom Age</t>
        </is>
      </c>
      <c r="C5" s="152" t="n">
        <v>50</v>
      </c>
      <c r="D5" s="153" t="inlineStr">
        <is>
          <t>Age at which you want to retire</t>
        </is>
      </c>
      <c r="E5" s="125" t="n"/>
    </row>
    <row r="6" ht="18.75" customHeight="1" s="115">
      <c r="B6" s="146" t="inlineStr">
        <is>
          <t>Life Expectancy</t>
        </is>
      </c>
      <c r="C6" s="152" t="n">
        <v>85</v>
      </c>
      <c r="D6" s="153" t="inlineStr">
        <is>
          <t>Used for corpus duration check</t>
        </is>
      </c>
      <c r="E6" s="125" t="n"/>
    </row>
    <row r="7" ht="18.75" customHeight="1" s="115">
      <c r="B7" s="146" t="inlineStr">
        <is>
          <t>Annual Inflation Rate</t>
        </is>
      </c>
      <c r="C7" s="154" t="n">
        <v>0.06</v>
      </c>
      <c r="D7" s="153" t="inlineStr">
        <is>
          <t>Expected annual inflation (e.g. 0.06 = 6%)</t>
        </is>
      </c>
      <c r="E7" s="125" t="n"/>
    </row>
    <row r="8" ht="18.75" customHeight="1" s="115">
      <c r="B8" s="146" t="inlineStr">
        <is>
          <t>Safe Withdrawal Rate (SWR)</t>
        </is>
      </c>
      <c r="C8" s="154" t="n">
        <v>0.04</v>
      </c>
      <c r="D8" s="153" t="inlineStr">
        <is>
          <t>4% = classic FIRE rule; 3.5% for early retirement</t>
        </is>
      </c>
      <c r="E8" s="125" t="n"/>
    </row>
    <row r="9" ht="18.75" customHeight="1" s="115">
      <c r="B9" s="146" t="inlineStr">
        <is>
          <t>Currency Symbol</t>
        </is>
      </c>
      <c r="C9" s="155" t="inlineStr">
        <is>
          <t>₹</t>
        </is>
      </c>
      <c r="D9" s="153" t="inlineStr">
        <is>
          <t>₹ for INR; $ for USD; € for EUR etc.</t>
        </is>
      </c>
      <c r="E9" s="125" t="n"/>
    </row>
    <row r="10" ht="18.75" customHeight="1" s="115"/>
    <row r="11" ht="18.75" customHeight="1" s="115">
      <c r="B11" s="124" t="inlineStr">
        <is>
          <t>CURRENT LOCATION</t>
        </is>
      </c>
      <c r="C11" s="126" t="n"/>
      <c r="D11" s="124" t="inlineStr">
        <is>
          <t>POST-FREEDOM LOCATION</t>
        </is>
      </c>
      <c r="E11" s="126" t="n"/>
    </row>
    <row r="12" ht="18.75" customHeight="1" s="115">
      <c r="B12" s="146" t="inlineStr">
        <is>
          <t>Country (Current)</t>
        </is>
      </c>
      <c r="C12" s="155" t="inlineStr">
        <is>
          <t>India</t>
        </is>
      </c>
      <c r="D12" s="146" t="inlineStr">
        <is>
          <t>Country (Post-Freedom)</t>
        </is>
      </c>
      <c r="E12" s="155" t="inlineStr">
        <is>
          <t>India</t>
        </is>
      </c>
    </row>
    <row r="13" ht="18.75" customHeight="1" s="115">
      <c r="B13" s="146" t="inlineStr">
        <is>
          <t>City (Current)</t>
        </is>
      </c>
      <c r="C13" s="155" t="inlineStr">
        <is>
          <t>Bangalore</t>
        </is>
      </c>
      <c r="D13" s="146" t="inlineStr">
        <is>
          <t>City (Post-Freedom)</t>
        </is>
      </c>
      <c r="E13" s="155" t="inlineStr">
        <is>
          <t>Goa</t>
        </is>
      </c>
    </row>
    <row r="14" ht="18.75" customHeight="1" s="115"/>
    <row r="15" ht="18.75" customHeight="1" s="115">
      <c r="B15" s="156" t="inlineStr">
        <is>
          <t>📐  DERIVED CALCULATIONS</t>
        </is>
      </c>
      <c r="C15" s="125" t="n"/>
      <c r="D15" s="125" t="n"/>
      <c r="E15" s="126" t="n"/>
    </row>
    <row r="16" ht="18.75" customHeight="1" s="115">
      <c r="B16" s="127" t="inlineStr">
        <is>
          <t>Years to Freedom (target)</t>
        </is>
      </c>
      <c r="C16" s="157">
        <f>C5-C4</f>
        <v/>
      </c>
      <c r="D16" s="114" t="n"/>
    </row>
    <row r="17" ht="18.75" customHeight="1" s="115">
      <c r="B17" s="127" t="inlineStr">
        <is>
          <t>Years in Retirement</t>
        </is>
      </c>
      <c r="C17" s="157">
        <f>C6-C5</f>
        <v/>
      </c>
      <c r="D17" s="114" t="n"/>
    </row>
    <row r="18" ht="18.75" customHeight="1" s="115">
      <c r="B18" s="127" t="inlineStr">
        <is>
          <t>Inflation Multiplier @ Target</t>
        </is>
      </c>
      <c r="C18" s="158">
        <f>POWER(1+C7,C16)</f>
        <v/>
      </c>
      <c r="D18" s="114" t="n"/>
    </row>
    <row r="19" ht="18.75" customHeight="1" s="115"/>
    <row r="20" ht="18.75" customHeight="1" s="115">
      <c r="B20" s="124" t="inlineStr">
        <is>
          <t>🎯  FREEDOM NUMBER CALCULATION</t>
        </is>
      </c>
      <c r="C20" s="125" t="n"/>
      <c r="D20" s="125" t="n"/>
      <c r="E20" s="126" t="n"/>
    </row>
    <row r="21" ht="18.75" customHeight="1" s="115">
      <c r="B21" s="130" t="inlineStr">
        <is>
          <t>Post-FI Monthly Expenses</t>
        </is>
      </c>
      <c r="C21" s="159">
        <f>'Income &amp; Spend'!H4</f>
        <v/>
      </c>
      <c r="D21" s="114" t="n"/>
    </row>
    <row r="22" ht="18.75" customHeight="1" s="115">
      <c r="B22" s="127" t="inlineStr">
        <is>
          <t>Post-FI Passive Income</t>
        </is>
      </c>
      <c r="C22" s="160">
        <f>'Income &amp; Spend'!H12</f>
        <v/>
      </c>
      <c r="D22" s="114" t="n"/>
    </row>
    <row r="23" ht="18.75" customHeight="1" s="115">
      <c r="B23" s="130" t="inlineStr">
        <is>
          <t>Net Monthly Withdrawal</t>
        </is>
      </c>
      <c r="C23" s="159">
        <f>MAX(0,C21-C22)</f>
        <v/>
      </c>
      <c r="D23" s="114" t="n"/>
    </row>
    <row r="24" ht="18.75" customHeight="1" s="115">
      <c r="B24" s="127" t="inlineStr">
        <is>
          <t>Annual Withdrawal Needed</t>
        </is>
      </c>
      <c r="C24" s="160">
        <f>C23*12</f>
        <v/>
      </c>
      <c r="D24" s="114" t="n"/>
    </row>
    <row r="25" ht="18.75" customHeight="1" s="115">
      <c r="B25" s="130" t="inlineStr">
        <is>
          <t>Inflated Annual Withdrawal</t>
        </is>
      </c>
      <c r="C25" s="159">
        <f>C24*C18</f>
        <v/>
      </c>
      <c r="D25" s="114" t="n"/>
    </row>
    <row r="26" ht="18.75" customHeight="1" s="115">
      <c r="B26" s="127" t="inlineStr">
        <is>
          <t>Base Freedom Number</t>
        </is>
      </c>
      <c r="C26" s="160">
        <f>C25/C8</f>
        <v/>
      </c>
      <c r="D26" s="114" t="n"/>
    </row>
    <row r="27" ht="18.75" customHeight="1" s="115">
      <c r="B27" s="161" t="inlineStr">
        <is>
          <t>Life Events Total Impact</t>
        </is>
      </c>
      <c r="C27" s="126" t="n"/>
    </row>
    <row r="28" ht="18.75" customHeight="1" s="115">
      <c r="B28" s="127" t="inlineStr">
        <is>
          <t>Total Life Events Cost (inflated)</t>
        </is>
      </c>
      <c r="C28" s="162">
        <f>'Life Events'!E30</f>
        <v/>
      </c>
    </row>
    <row r="29" ht="18.75" customHeight="1" s="115">
      <c r="B29" s="163" t="inlineStr">
        <is>
          <t>✦  ADJUSTED FREEDOM NUMBER</t>
        </is>
      </c>
      <c r="C29" s="125" t="n"/>
      <c r="D29" s="125" t="n"/>
      <c r="E29" s="126" t="n"/>
    </row>
    <row r="30" ht="30" customHeight="1" s="115">
      <c r="B30" s="163" t="inlineStr">
        <is>
          <t>FREEDOM NUMBER (with Life Events)</t>
        </is>
      </c>
      <c r="C30" s="164">
        <f>C26+C28</f>
        <v/>
      </c>
      <c r="D30" s="165" t="inlineStr">
        <is>
          <t>← Target corpus to retire</t>
        </is>
      </c>
      <c r="E30" s="125" t="n"/>
    </row>
    <row r="31" ht="24" customHeight="1" s="115">
      <c r="B31" s="166" t="inlineStr">
        <is>
          <t>Adjusted Freedom Number</t>
        </is>
      </c>
      <c r="C31" s="167">
        <f>C30</f>
        <v/>
      </c>
      <c r="D31" s="168" t="n"/>
      <c r="E31" s="125" t="n"/>
    </row>
    <row r="32" ht="21.75" customHeight="1" s="115">
      <c r="B32" s="169" t="inlineStr">
        <is>
          <t>NET WORTH ►</t>
        </is>
      </c>
      <c r="C32" s="125" t="n"/>
      <c r="D32" s="125" t="n"/>
      <c r="E32" s="126" t="n"/>
    </row>
    <row r="33" ht="25.5" customHeight="1" s="115">
      <c r="B33" s="170" t="inlineStr">
        <is>
          <t>Current Net Worth</t>
        </is>
      </c>
      <c r="C33" s="171">
        <f>Investments!B38+IF('Assets &amp; Liabilities'!C4="Own",'Assets &amp; Liabilities'!C6,0)+'Assets &amp; Liabilities'!B20-'Assets &amp; Liabilities'!B43</f>
        <v/>
      </c>
      <c r="D33" s="172" t="n"/>
      <c r="E33" s="125" t="n"/>
    </row>
    <row r="34" ht="21.75" customHeight="1" s="115">
      <c r="B34" s="173" t="inlineStr">
        <is>
          <t>⏱  TIME TO FREEDOM</t>
        </is>
      </c>
      <c r="C34" s="126" t="n"/>
    </row>
    <row r="35" ht="25.5" customHeight="1" s="115">
      <c r="B35" s="173" t="inlineStr">
        <is>
          <t>Approx Years to Hit Corpus</t>
        </is>
      </c>
      <c r="C35" s="174">
        <f>Projections!B5</f>
        <v/>
      </c>
      <c r="D35" s="175" t="n"/>
      <c r="E35" s="125" t="n"/>
    </row>
    <row r="36" ht="25.5" customHeight="1" s="115">
      <c r="B36" s="173" t="inlineStr">
        <is>
          <t>Freedom Age (approx)</t>
        </is>
      </c>
      <c r="C36" s="174">
        <f>IFERROR(Profile!C4+Profile!C35,"Beyond age "&amp;Profile!C6)</f>
        <v/>
      </c>
      <c r="D36" s="175" t="n"/>
      <c r="E36" s="125" t="n"/>
    </row>
    <row r="37" ht="18.75" customHeight="1" s="115"/>
    <row r="38" ht="18.75" customHeight="1" s="115"/>
    <row r="39" ht="18.75" customHeight="1" s="115"/>
    <row r="40" ht="18.75" customHeight="1" s="115"/>
    <row r="41" ht="18.75" customHeight="1" s="115"/>
    <row r="42" ht="18.75" customHeight="1" s="115"/>
    <row r="43" ht="18.75" customHeight="1" s="115"/>
    <row r="44" ht="18.75" customHeight="1" s="115"/>
    <row r="45" ht="18.75" customHeight="1" s="115"/>
    <row r="46" ht="18.75" customHeight="1" s="115"/>
    <row r="47" ht="18.75" customHeight="1" s="115"/>
    <row r="48" ht="18.75" customHeight="1" s="115"/>
    <row r="49" ht="18.75" customHeight="1" s="115"/>
  </sheetData>
  <mergeCells count="30">
    <mergeCell ref="B15:E15"/>
    <mergeCell ref="D22:E22"/>
    <mergeCell ref="B20:E20"/>
    <mergeCell ref="D36:E36"/>
    <mergeCell ref="B27:C27"/>
    <mergeCell ref="D31:E31"/>
    <mergeCell ref="B32:E32"/>
    <mergeCell ref="D21:E21"/>
    <mergeCell ref="D6:E6"/>
    <mergeCell ref="B11:C11"/>
    <mergeCell ref="D11:E11"/>
    <mergeCell ref="B3:E3"/>
    <mergeCell ref="B1:E2"/>
    <mergeCell ref="D17:E17"/>
    <mergeCell ref="D16:E16"/>
    <mergeCell ref="D7:E7"/>
    <mergeCell ref="B34:C34"/>
    <mergeCell ref="D4:E4"/>
    <mergeCell ref="D18:E18"/>
    <mergeCell ref="D9:E9"/>
    <mergeCell ref="D8:E8"/>
    <mergeCell ref="D25:E25"/>
    <mergeCell ref="D24:E24"/>
    <mergeCell ref="D30:E30"/>
    <mergeCell ref="D33:E33"/>
    <mergeCell ref="D5:E5"/>
    <mergeCell ref="D23:E23"/>
    <mergeCell ref="B29:E29"/>
    <mergeCell ref="D26:E26"/>
    <mergeCell ref="D35:E3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1:H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421875" defaultRowHeight="15" zeroHeight="0" outlineLevelRow="0"/>
  <cols>
    <col width="2.02" customWidth="1" style="114" min="1" max="1"/>
    <col width="25.97" customWidth="1" style="114" min="2" max="2"/>
    <col width="18.03" customWidth="1" style="114" min="3" max="3"/>
    <col width="4.02" customWidth="1" style="114" min="4" max="4"/>
    <col width="25.97" customWidth="1" style="114" min="5" max="5"/>
    <col width="18.03" customWidth="1" style="114" min="6" max="6"/>
    <col width="4.02" customWidth="1" style="114" min="7" max="7"/>
    <col width="18.03" customWidth="1" style="114" min="8" max="8"/>
    <col width="2.02" customWidth="1" style="114" min="9" max="9"/>
  </cols>
  <sheetData>
    <row r="1" ht="18.75" customHeight="1" s="115">
      <c r="B1" s="151" t="inlineStr">
        <is>
          <t>💰  INCOME &amp; SPENDING</t>
        </is>
      </c>
    </row>
    <row r="2" ht="18.75" customHeight="1" s="115"/>
    <row r="3" ht="18" customHeight="1" s="115">
      <c r="B3" s="124" t="inlineStr">
        <is>
          <t>CURRENT INCOME</t>
        </is>
      </c>
      <c r="C3" s="126" t="n"/>
      <c r="E3" s="124" t="inlineStr">
        <is>
          <t>POST-FREEDOM INCOME</t>
        </is>
      </c>
      <c r="F3" s="126" t="n"/>
      <c r="G3" s="176" t="inlineStr">
        <is>
          <t>TOTAL</t>
        </is>
      </c>
      <c r="H3" s="177">
        <f>C8</f>
        <v/>
      </c>
    </row>
    <row r="4" ht="18.75" customHeight="1" s="115">
      <c r="B4" s="127" t="inlineStr">
        <is>
          <t>Monthly Take-Home Salary</t>
        </is>
      </c>
      <c r="C4" s="178" t="n">
        <v>100000</v>
      </c>
      <c r="D4" s="129" t="n"/>
      <c r="E4" s="127" t="inlineStr">
        <is>
          <t>Part-time / Passive Income</t>
        </is>
      </c>
      <c r="F4" s="178" t="n">
        <v>0</v>
      </c>
      <c r="G4" s="179" t="inlineStr">
        <is>
          <t>Surplus → Dashboard</t>
        </is>
      </c>
      <c r="H4" s="180">
        <f>F20</f>
        <v/>
      </c>
    </row>
    <row r="5" ht="18.75" customHeight="1" s="115">
      <c r="B5" s="130" t="inlineStr">
        <is>
          <t>Spouse Monthly Income</t>
        </is>
      </c>
      <c r="C5" s="178" t="n">
        <v>0</v>
      </c>
      <c r="D5" s="132" t="n"/>
      <c r="E5" s="130" t="inlineStr">
        <is>
          <t>Rental Income</t>
        </is>
      </c>
      <c r="F5" s="178" t="n">
        <v>0</v>
      </c>
      <c r="G5" s="181">
        <f>C28</f>
        <v/>
      </c>
      <c r="H5" s="132" t="n"/>
    </row>
    <row r="6" ht="18.75" customHeight="1" s="115">
      <c r="B6" s="127" t="inlineStr">
        <is>
          <t>Other Income (Rent, Freelance)</t>
        </is>
      </c>
      <c r="C6" s="178" t="n">
        <v>0</v>
      </c>
      <c r="D6" s="129" t="n"/>
      <c r="E6" s="127" t="inlineStr">
        <is>
          <t>Other Post-FI Income</t>
        </is>
      </c>
      <c r="F6" s="178" t="n">
        <v>0</v>
      </c>
      <c r="G6" s="129" t="n"/>
      <c r="H6" s="129" t="n"/>
    </row>
    <row r="7" ht="18.75" customHeight="1" s="115">
      <c r="B7" s="130" t="inlineStr">
        <is>
          <t>Annual Bonus ÷ 12</t>
        </is>
      </c>
      <c r="C7" s="178" t="n">
        <v>0</v>
      </c>
      <c r="D7" s="132" t="n"/>
      <c r="E7" s="130" t="inlineStr">
        <is>
          <t>Pension / Annuity</t>
        </is>
      </c>
      <c r="F7" s="178" t="n">
        <v>0</v>
      </c>
      <c r="G7" s="132" t="n"/>
      <c r="H7" s="132" t="n"/>
    </row>
    <row r="8" ht="18.75" customHeight="1" s="115">
      <c r="B8" s="182" t="inlineStr">
        <is>
          <t>Total Current Income</t>
        </is>
      </c>
      <c r="C8" s="183">
        <f>SUM(C4:C7)</f>
        <v/>
      </c>
      <c r="E8" s="182" t="inlineStr">
        <is>
          <t>Total Post-FI Income</t>
        </is>
      </c>
      <c r="F8" s="183">
        <f>SUM(F4:F7)</f>
        <v/>
      </c>
    </row>
    <row r="9" ht="7.5" customHeight="1" s="115"/>
    <row r="10" ht="18.75" customHeight="1" s="115">
      <c r="B10" s="184" t="inlineStr">
        <is>
          <t>CURRENT MONTHLY EXPENSES</t>
        </is>
      </c>
      <c r="C10" s="126" t="n"/>
      <c r="E10" s="184" t="inlineStr">
        <is>
          <t>POST-FREEDOM MONTHLY EXPENSES</t>
        </is>
      </c>
      <c r="F10" s="126" t="n"/>
    </row>
    <row r="11" ht="18.75" customHeight="1" s="115">
      <c r="B11" s="185" t="inlineStr">
        <is>
          <t>Category</t>
        </is>
      </c>
      <c r="C11" s="185" t="inlineStr">
        <is>
          <t>Amount (₹)</t>
        </is>
      </c>
      <c r="E11" s="185" t="inlineStr">
        <is>
          <t>Category</t>
        </is>
      </c>
      <c r="F11" s="185" t="inlineStr">
        <is>
          <t>Amount (₹)</t>
        </is>
      </c>
      <c r="H11" s="185" t="inlineStr">
        <is>
          <t>Diff</t>
        </is>
      </c>
    </row>
    <row r="12" ht="18.75" customHeight="1" s="115">
      <c r="B12" s="127" t="inlineStr">
        <is>
          <t>Housing (Rent/EMI)</t>
        </is>
      </c>
      <c r="C12" s="178" t="n">
        <v>20000</v>
      </c>
      <c r="D12" s="129" t="n"/>
      <c r="E12" s="127" t="inlineStr">
        <is>
          <t>Housing</t>
        </is>
      </c>
      <c r="F12" s="178" t="n">
        <v>15000</v>
      </c>
      <c r="G12" s="134">
        <f>F8</f>
        <v/>
      </c>
      <c r="H12" s="177">
        <f>F8</f>
        <v/>
      </c>
    </row>
    <row r="13" ht="18.75" customHeight="1" s="115">
      <c r="B13" s="130" t="inlineStr">
        <is>
          <t>Food &amp; Groceries</t>
        </is>
      </c>
      <c r="C13" s="178" t="n">
        <v>10000</v>
      </c>
      <c r="D13" s="132" t="n"/>
      <c r="E13" s="130" t="inlineStr">
        <is>
          <t>Food &amp; Groceries</t>
        </is>
      </c>
      <c r="F13" s="178" t="n">
        <v>10000</v>
      </c>
      <c r="G13" s="132" t="n"/>
      <c r="H13" s="159">
        <f>F13-C13</f>
        <v/>
      </c>
    </row>
    <row r="14" ht="18.75" customHeight="1" s="115">
      <c r="B14" s="127" t="inlineStr">
        <is>
          <t>Transport</t>
        </is>
      </c>
      <c r="C14" s="178" t="n">
        <v>5000</v>
      </c>
      <c r="D14" s="129" t="n"/>
      <c r="E14" s="127" t="inlineStr">
        <is>
          <t>Transport</t>
        </is>
      </c>
      <c r="F14" s="178" t="n">
        <v>3000</v>
      </c>
      <c r="G14" s="129" t="n"/>
      <c r="H14" s="160">
        <f>F14-C14</f>
        <v/>
      </c>
    </row>
    <row r="15" ht="18.75" customHeight="1" s="115">
      <c r="B15" s="130" t="inlineStr">
        <is>
          <t>Utilities &amp; Bills</t>
        </is>
      </c>
      <c r="C15" s="178" t="n">
        <v>3000</v>
      </c>
      <c r="D15" s="132" t="n"/>
      <c r="E15" s="130" t="inlineStr">
        <is>
          <t>Utilities &amp; Bills</t>
        </is>
      </c>
      <c r="F15" s="178" t="n">
        <v>2500</v>
      </c>
      <c r="G15" s="132" t="n"/>
      <c r="H15" s="159">
        <f>F15-C15</f>
        <v/>
      </c>
    </row>
    <row r="16" ht="18.75" customHeight="1" s="115">
      <c r="B16" s="127" t="inlineStr">
        <is>
          <t>Health &amp; Insurance</t>
        </is>
      </c>
      <c r="C16" s="178" t="n">
        <v>3000</v>
      </c>
      <c r="D16" s="129" t="n"/>
      <c r="E16" s="127" t="inlineStr">
        <is>
          <t>Health &amp; Insurance</t>
        </is>
      </c>
      <c r="F16" s="178" t="n">
        <v>5000</v>
      </c>
      <c r="G16" s="129" t="n"/>
      <c r="H16" s="160">
        <f>F16-C16</f>
        <v/>
      </c>
    </row>
    <row r="17" ht="18.75" customHeight="1" s="115">
      <c r="B17" s="130" t="inlineStr">
        <is>
          <t>Entertainment &amp; Lifestyle</t>
        </is>
      </c>
      <c r="C17" s="178" t="n">
        <v>5000</v>
      </c>
      <c r="D17" s="132" t="n"/>
      <c r="E17" s="130" t="inlineStr">
        <is>
          <t>Entertainment</t>
        </is>
      </c>
      <c r="F17" s="178" t="n">
        <v>8000</v>
      </c>
      <c r="G17" s="132" t="n"/>
      <c r="H17" s="159">
        <f>F17-C17</f>
        <v/>
      </c>
    </row>
    <row r="18" ht="18.75" customHeight="1" s="115">
      <c r="B18" s="127" t="inlineStr">
        <is>
          <t>Children &amp; Education</t>
        </is>
      </c>
      <c r="C18" s="178" t="n">
        <v>0</v>
      </c>
      <c r="D18" s="129" t="n"/>
      <c r="E18" s="127" t="inlineStr">
        <is>
          <t>Miscellaneous</t>
        </is>
      </c>
      <c r="F18" s="178" t="n">
        <v>3000</v>
      </c>
      <c r="G18" s="129" t="n"/>
      <c r="H18" s="160">
        <f>F18-C18</f>
        <v/>
      </c>
    </row>
    <row r="19" ht="18.75" customHeight="1" s="115">
      <c r="B19" s="130" t="inlineStr">
        <is>
          <t>Other</t>
        </is>
      </c>
      <c r="C19" s="178" t="n">
        <v>0</v>
      </c>
      <c r="D19" s="132" t="n"/>
      <c r="E19" s="130" t="inlineStr">
        <is>
          <t>Other</t>
        </is>
      </c>
      <c r="F19" s="178" t="n">
        <v>0</v>
      </c>
      <c r="G19" s="132" t="n"/>
      <c r="H19" s="159">
        <f>F19-C19</f>
        <v/>
      </c>
    </row>
    <row r="20" ht="18.75" customHeight="1" s="115">
      <c r="B20" s="186" t="inlineStr">
        <is>
          <t>TOTAL EXPENSES</t>
        </is>
      </c>
      <c r="C20" s="187">
        <f>SUM(C12:C19)</f>
        <v/>
      </c>
      <c r="E20" s="186" t="inlineStr">
        <is>
          <t>TOTAL POST-FI EXPENSES</t>
        </is>
      </c>
      <c r="F20" s="187">
        <f>SUM(F12:F19)</f>
        <v/>
      </c>
    </row>
    <row r="21" ht="18.75" customHeight="1" s="115"/>
    <row r="22" ht="7.5" customHeight="1" s="115"/>
    <row r="23" ht="18.75" customHeight="1" s="115"/>
    <row r="24" ht="18.75" customHeight="1" s="115">
      <c r="B24" s="127" t="inlineStr">
        <is>
          <t>Total Income</t>
        </is>
      </c>
      <c r="C24" s="160">
        <f>C8</f>
        <v/>
      </c>
      <c r="D24" s="129" t="n"/>
      <c r="E24" s="188" t="inlineStr">
        <is>
          <t>Post-FI (₹/mo)</t>
        </is>
      </c>
      <c r="F24" s="160">
        <f>F8</f>
        <v/>
      </c>
    </row>
    <row r="25" ht="18.75" customHeight="1" s="115">
      <c r="B25" s="130" t="inlineStr">
        <is>
          <t>Total Expenses</t>
        </is>
      </c>
      <c r="C25" s="159">
        <f>C20</f>
        <v/>
      </c>
      <c r="D25" s="132" t="n"/>
      <c r="E25" s="132" t="n"/>
      <c r="F25" s="159">
        <f>F20</f>
        <v/>
      </c>
    </row>
    <row r="26" ht="18.75" customHeight="1" s="115">
      <c r="B26" s="127" t="inlineStr">
        <is>
          <t>EMIs</t>
        </is>
      </c>
      <c r="C26" s="160">
        <f>'Assets &amp; Liabilities'!B42</f>
        <v/>
      </c>
      <c r="D26" s="129" t="n"/>
      <c r="E26" s="129" t="n"/>
      <c r="F26" s="160">
        <f>0</f>
        <v/>
      </c>
    </row>
    <row r="27" ht="18.75" customHeight="1" s="115">
      <c r="B27" s="130" t="inlineStr">
        <is>
          <t>SIPs</t>
        </is>
      </c>
      <c r="C27" s="159">
        <f>Investments!B36</f>
        <v/>
      </c>
      <c r="D27" s="132" t="n"/>
      <c r="E27" s="132" t="n"/>
      <c r="F27" s="159">
        <f>0</f>
        <v/>
      </c>
    </row>
    <row r="28" ht="18.75" customHeight="1" s="115">
      <c r="B28" s="189" t="inlineStr">
        <is>
          <t>NET SURPLUS</t>
        </is>
      </c>
      <c r="C28" s="190">
        <f>C24-C25-C26-C27</f>
        <v/>
      </c>
      <c r="D28" s="191" t="n"/>
      <c r="E28" s="191" t="n"/>
      <c r="F28" s="190">
        <f>F24-F25</f>
        <v/>
      </c>
    </row>
    <row r="29" ht="18.75" customHeight="1" s="115"/>
    <row r="30" ht="18.75" customHeight="1" s="115"/>
    <row r="31" ht="18.75" customHeight="1" s="115"/>
    <row r="32" ht="18.75" customHeight="1" s="115"/>
    <row r="33" ht="18.75" customHeight="1" s="115"/>
    <row r="34" ht="18.75" customHeight="1" s="115"/>
    <row r="35" ht="18.75" customHeight="1" s="115"/>
    <row r="36" ht="18.75" customHeight="1" s="115"/>
    <row r="37" ht="18.75" customHeight="1" s="115"/>
    <row r="38" ht="18.75" customHeight="1" s="115"/>
    <row r="39" ht="18.75" customHeight="1" s="115"/>
    <row r="40" ht="18.75" customHeight="1" s="115"/>
    <row r="41" ht="18.75" customHeight="1" s="115"/>
    <row r="42" ht="18.75" customHeight="1" s="115"/>
    <row r="43" ht="18.75" customHeight="1" s="115"/>
    <row r="44" ht="18.75" customHeight="1" s="115"/>
    <row r="45" ht="18.75" customHeight="1" s="115"/>
    <row r="46" ht="18.75" customHeight="1" s="115"/>
    <row r="47" ht="18.75" customHeight="1" s="115"/>
    <row r="48" ht="18.75" customHeight="1" s="115"/>
    <row r="49" ht="18.75" customHeight="1" s="115"/>
    <row r="50" ht="18.75" customHeight="1" s="115"/>
    <row r="51" ht="18.75" customHeight="1" s="115"/>
    <row r="52" ht="18.75" customHeight="1" s="115"/>
    <row r="53" ht="18.75" customHeight="1" s="115"/>
    <row r="54" ht="18.75" customHeight="1" s="115"/>
  </sheetData>
  <mergeCells count="5">
    <mergeCell ref="E10:F10"/>
    <mergeCell ref="B3:C3"/>
    <mergeCell ref="B10:C10"/>
    <mergeCell ref="B1:H2"/>
    <mergeCell ref="E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1:F4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421875" defaultRowHeight="15" zeroHeight="0" outlineLevelRow="0"/>
  <cols>
    <col width="2.02" customWidth="1" style="114" min="1" max="1"/>
    <col width="22.06" customWidth="1" style="114" min="2" max="2"/>
    <col width="16.01" customWidth="1" style="114" min="3" max="6"/>
    <col width="2.02" customWidth="1" style="114" min="7" max="7"/>
  </cols>
  <sheetData>
    <row r="1" ht="18.75" customHeight="1" s="115">
      <c r="B1" s="151" t="inlineStr">
        <is>
          <t>🏠  ASSETS &amp; LIABILITIES</t>
        </is>
      </c>
    </row>
    <row r="2" ht="18.75" customHeight="1" s="115"/>
    <row r="3" ht="18.75" customHeight="1" s="115">
      <c r="B3" s="124" t="inlineStr">
        <is>
          <t>🏘️  HOUSING — OWN vs RENT</t>
        </is>
      </c>
      <c r="C3" s="125" t="n"/>
      <c r="D3" s="125" t="n"/>
      <c r="E3" s="125" t="n"/>
      <c r="F3" s="126" t="n"/>
    </row>
    <row r="4" ht="18.75" customHeight="1" s="115">
      <c r="B4" s="146" t="inlineStr">
        <is>
          <t>Housing Choice (Own / Rent)</t>
        </is>
      </c>
      <c r="C4" s="192" t="inlineStr">
        <is>
          <t>Own</t>
        </is>
      </c>
      <c r="D4" s="193" t="inlineStr">
        <is>
          <t>Enter 'Own' or 'Rent'</t>
        </is>
      </c>
      <c r="E4" s="140" t="n"/>
      <c r="F4" s="140" t="n"/>
    </row>
    <row r="5" ht="18.75" customHeight="1" s="115">
      <c r="B5" s="194" t="inlineStr">
        <is>
          <t>IF OWN — Home Details</t>
        </is>
      </c>
      <c r="C5" s="125" t="n"/>
      <c r="D5" s="125" t="n"/>
      <c r="E5" s="125" t="n"/>
      <c r="F5" s="126" t="n"/>
    </row>
    <row r="6" ht="18.75" customHeight="1" s="115">
      <c r="B6" s="127" t="inlineStr">
        <is>
          <t>Property Market Value</t>
        </is>
      </c>
      <c r="C6" s="178" t="n">
        <v>8000000</v>
      </c>
    </row>
    <row r="7" ht="18.75" customHeight="1" s="115">
      <c r="B7" s="130" t="inlineStr">
        <is>
          <t>Home Loan Outstanding Balance</t>
        </is>
      </c>
      <c r="C7" s="178" t="n">
        <v>6400000</v>
      </c>
    </row>
    <row r="8" ht="18.75" customHeight="1" s="115">
      <c r="B8" s="195">
        <f>IF(C4="Own",C6-C7,0)</f>
        <v/>
      </c>
      <c r="C8" s="154" t="n">
        <v>0.08500000000000001</v>
      </c>
    </row>
    <row r="9" ht="18.75" customHeight="1" s="115">
      <c r="B9" s="130" t="inlineStr">
        <is>
          <t>Remaining Tenure (years)</t>
        </is>
      </c>
      <c r="C9" s="178" t="n">
        <v>20</v>
      </c>
    </row>
    <row r="10" ht="18.75" customHeight="1" s="115">
      <c r="B10" s="127" t="inlineStr">
        <is>
          <t>Property Appreciation (%/yr)</t>
        </is>
      </c>
      <c r="C10" s="154" t="n">
        <v>0.05</v>
      </c>
    </row>
    <row r="11" ht="18.75" customHeight="1" s="115">
      <c r="B11" s="127" t="inlineStr">
        <is>
          <t>Computed Monthly EMI</t>
        </is>
      </c>
      <c r="C11" s="196">
        <f>IF(C4="Own",IFERROR(C7*(C8/12)*POWER(1+C8/12,C9*12)/(POWER(1+C8/12,C9*12)-1),0),0)</f>
        <v/>
      </c>
    </row>
    <row r="12" ht="18.75" customHeight="1" s="115">
      <c r="B12" s="197" t="inlineStr">
        <is>
          <t>Net Property Value (Equity)</t>
        </is>
      </c>
      <c r="C12" s="198">
        <f>IF(C4="Own",C6-C7,0)</f>
        <v/>
      </c>
    </row>
    <row r="13" ht="18.75" customHeight="1" s="115">
      <c r="B13" s="194" t="inlineStr">
        <is>
          <t>IF RENT</t>
        </is>
      </c>
      <c r="C13" s="125" t="n"/>
      <c r="D13" s="125" t="n"/>
      <c r="E13" s="125" t="n"/>
      <c r="F13" s="126" t="n"/>
    </row>
    <row r="14" ht="18.75" customHeight="1" s="115">
      <c r="B14" s="146" t="inlineStr">
        <is>
          <t>Monthly Rent</t>
        </is>
      </c>
      <c r="C14" s="178" t="n">
        <v>20000</v>
      </c>
    </row>
    <row r="15" ht="18.75" customHeight="1" s="115">
      <c r="B15" s="146" t="inlineStr">
        <is>
          <t>Annual Rent Increase (%)</t>
        </is>
      </c>
      <c r="C15" s="154" t="n">
        <v>0.05</v>
      </c>
    </row>
    <row r="16" ht="7.5" customHeight="1" s="115"/>
    <row r="17" ht="18.75" customHeight="1" s="115">
      <c r="B17" s="124" t="inlineStr">
        <is>
          <t>💎  OTHER ASSETS</t>
        </is>
      </c>
      <c r="C17" s="125" t="n"/>
      <c r="D17" s="125" t="n"/>
      <c r="E17" s="125" t="n"/>
      <c r="F17" s="126" t="n"/>
    </row>
    <row r="18" ht="18.75" customHeight="1" s="115">
      <c r="B18" s="185" t="inlineStr">
        <is>
          <t>Asset Name</t>
        </is>
      </c>
      <c r="C18" s="185" t="inlineStr">
        <is>
          <t>Current Value (₹)</t>
        </is>
      </c>
      <c r="D18" s="185" t="inlineStr">
        <is>
          <t>Type</t>
        </is>
      </c>
      <c r="E18" s="185" t="inlineStr">
        <is>
          <t>Notes</t>
        </is>
      </c>
    </row>
    <row r="19" ht="18.75" customHeight="1" s="115">
      <c r="B19" s="199" t="inlineStr">
        <is>
          <t>Car / Vehicle</t>
        </is>
      </c>
      <c r="C19" s="178" t="n">
        <v>500000</v>
      </c>
      <c r="D19" s="199" t="inlineStr">
        <is>
          <t>Vehicle</t>
        </is>
      </c>
      <c r="E19" s="200" t="inlineStr">
        <is>
          <t>Depreciating asset</t>
        </is>
      </c>
      <c r="F19" s="129" t="n"/>
    </row>
    <row r="20" ht="18.75" customHeight="1" s="115">
      <c r="B20" s="195">
        <f>C25</f>
        <v/>
      </c>
      <c r="C20" s="178" t="n">
        <v>200000</v>
      </c>
      <c r="D20" s="199" t="inlineStr">
        <is>
          <t>Gold</t>
        </is>
      </c>
      <c r="E20" s="201" t="inlineStr">
        <is>
          <t>Include ETF/SGB value</t>
        </is>
      </c>
      <c r="F20" s="132" t="n"/>
    </row>
    <row r="21" ht="18.75" customHeight="1" s="115">
      <c r="B21" s="199" t="inlineStr">
        <is>
          <t>Land / Plot</t>
        </is>
      </c>
      <c r="C21" s="178" t="n">
        <v>0</v>
      </c>
      <c r="D21" s="199" t="inlineStr">
        <is>
          <t>Real Estate</t>
        </is>
      </c>
      <c r="E21" s="200" t="inlineStr">
        <is>
          <t>Market value today</t>
        </is>
      </c>
      <c r="F21" s="129" t="n"/>
    </row>
    <row r="22" ht="18.75" customHeight="1" s="115">
      <c r="B22" s="199" t="inlineStr">
        <is>
          <t>PF / Gratuity</t>
        </is>
      </c>
      <c r="C22" s="178" t="n">
        <v>300000</v>
      </c>
      <c r="D22" s="199" t="inlineStr">
        <is>
          <t>Retirement Fund</t>
        </is>
      </c>
      <c r="E22" s="201" t="inlineStr">
        <is>
          <t>Current PF balance</t>
        </is>
      </c>
      <c r="F22" s="132" t="n"/>
    </row>
    <row r="23" ht="18.75" customHeight="1" s="115">
      <c r="B23" s="199" t="inlineStr">
        <is>
          <t>Other Asset 1</t>
        </is>
      </c>
      <c r="C23" s="178" t="n">
        <v>0</v>
      </c>
      <c r="D23" s="199" t="inlineStr">
        <is>
          <t>Other</t>
        </is>
      </c>
      <c r="E23" s="200" t="n"/>
      <c r="F23" s="129" t="n"/>
    </row>
    <row r="24" ht="18.75" customHeight="1" s="115">
      <c r="B24" s="199" t="inlineStr">
        <is>
          <t>Other Asset 2</t>
        </is>
      </c>
      <c r="C24" s="178" t="n">
        <v>0</v>
      </c>
      <c r="D24" s="199" t="inlineStr">
        <is>
          <t>Other</t>
        </is>
      </c>
      <c r="E24" s="201" t="n"/>
      <c r="F24" s="132" t="n"/>
    </row>
    <row r="25" ht="18.75" customHeight="1" s="115">
      <c r="B25" s="189" t="inlineStr">
        <is>
          <t>TOTAL OTHER ASSETS</t>
        </is>
      </c>
      <c r="C25" s="198">
        <f>SUM(C19:C24)</f>
        <v/>
      </c>
    </row>
    <row r="26" ht="7.5" customHeight="1" s="115"/>
    <row r="27" ht="18.75" customHeight="1" s="115">
      <c r="B27" s="184" t="inlineStr">
        <is>
          <t>🔴  LOANS &amp; LIABILITIES (excl. Home Loan)</t>
        </is>
      </c>
      <c r="C27" s="125" t="n"/>
      <c r="D27" s="125" t="n"/>
      <c r="E27" s="125" t="n"/>
      <c r="F27" s="126" t="n"/>
    </row>
    <row r="28" ht="18.75" customHeight="1" s="115">
      <c r="B28" s="185" t="inlineStr">
        <is>
          <t>Loan Name</t>
        </is>
      </c>
      <c r="C28" s="185" t="inlineStr">
        <is>
          <t>Outstanding Balance</t>
        </is>
      </c>
      <c r="D28" s="185" t="inlineStr">
        <is>
          <t>Monthly EMI</t>
        </is>
      </c>
      <c r="E28" s="185" t="inlineStr">
        <is>
          <t>Interest Rate</t>
        </is>
      </c>
      <c r="F28" s="185" t="inlineStr">
        <is>
          <t>Notes</t>
        </is>
      </c>
    </row>
    <row r="29" ht="18.75" customHeight="1" s="115">
      <c r="B29" s="199" t="inlineStr">
        <is>
          <t>Car Loan</t>
        </is>
      </c>
      <c r="C29" s="178" t="n">
        <v>500000</v>
      </c>
      <c r="D29" s="178" t="n">
        <v>12000</v>
      </c>
      <c r="E29" s="154" t="n">
        <v>0.09</v>
      </c>
      <c r="F29" s="200" t="inlineStr">
        <is>
          <t>9% p.a.</t>
        </is>
      </c>
    </row>
    <row r="30" ht="18.75" customHeight="1" s="115">
      <c r="B30" s="199" t="inlineStr">
        <is>
          <t>Personal Loan</t>
        </is>
      </c>
      <c r="C30" s="178" t="n">
        <v>0</v>
      </c>
      <c r="D30" s="178" t="n">
        <v>0</v>
      </c>
      <c r="E30" s="154" t="n">
        <v>0.12</v>
      </c>
      <c r="F30" s="201" t="n"/>
    </row>
    <row r="31" ht="18.75" customHeight="1" s="115">
      <c r="B31" s="199" t="inlineStr">
        <is>
          <t>Education Loan</t>
        </is>
      </c>
      <c r="C31" s="178" t="n">
        <v>0</v>
      </c>
      <c r="D31" s="178" t="n">
        <v>0</v>
      </c>
      <c r="E31" s="154" t="n">
        <v>0.08500000000000001</v>
      </c>
      <c r="F31" s="200" t="n"/>
    </row>
    <row r="32" ht="18.75" customHeight="1" s="115">
      <c r="B32" s="199" t="inlineStr">
        <is>
          <t>Credit Card</t>
        </is>
      </c>
      <c r="C32" s="178" t="n">
        <v>0</v>
      </c>
      <c r="D32" s="178" t="n">
        <v>0</v>
      </c>
      <c r="E32" s="154" t="n">
        <v>0.36</v>
      </c>
      <c r="F32" s="201" t="inlineStr">
        <is>
          <t>Revolving balance</t>
        </is>
      </c>
    </row>
    <row r="33" ht="18.75" customHeight="1" s="115">
      <c r="B33" s="199" t="inlineStr">
        <is>
          <t>Other Loan 1</t>
        </is>
      </c>
      <c r="C33" s="178" t="n">
        <v>0</v>
      </c>
      <c r="D33" s="178" t="n">
        <v>0</v>
      </c>
      <c r="E33" s="154" t="n">
        <v>0.1</v>
      </c>
      <c r="F33" s="200" t="n"/>
    </row>
    <row r="34" ht="18.75" customHeight="1" s="115">
      <c r="B34" s="199" t="inlineStr">
        <is>
          <t>Other Loan 2</t>
        </is>
      </c>
      <c r="C34" s="178" t="n">
        <v>0</v>
      </c>
      <c r="D34" s="178" t="n">
        <v>0</v>
      </c>
      <c r="E34" s="154" t="n">
        <v>0.1</v>
      </c>
      <c r="F34" s="201" t="n"/>
    </row>
    <row r="35" ht="18.75" customHeight="1" s="115">
      <c r="B35" s="186" t="inlineStr">
        <is>
          <t>TOTAL LIABILITIES (excl. home)</t>
        </is>
      </c>
      <c r="C35" s="202">
        <f>SUM(C29:C34)</f>
        <v/>
      </c>
    </row>
    <row r="36" ht="18.75" customHeight="1" s="115">
      <c r="B36" s="186" t="inlineStr">
        <is>
          <t>TOTAL EMIs (excl. home)</t>
        </is>
      </c>
      <c r="C36" s="202">
        <f>SUM(D29:D34)</f>
        <v/>
      </c>
    </row>
    <row r="37" ht="18.75" customHeight="1" s="115"/>
    <row r="38" ht="18.75" customHeight="1" s="115"/>
    <row r="39" ht="18.75" customHeight="1" s="115"/>
    <row r="40" ht="18.75" customHeight="1" s="115"/>
    <row r="41" ht="18.75" customHeight="1" s="115"/>
    <row r="42" ht="18.75" customHeight="1" s="115">
      <c r="B42" s="203">
        <f>C36+C11</f>
        <v/>
      </c>
    </row>
    <row r="43" ht="18.75" customHeight="1" s="115">
      <c r="B43" s="203">
        <f>C35+IF(C4="Own",C7,0)</f>
        <v/>
      </c>
    </row>
    <row r="44" ht="18.75" customHeight="1" s="115"/>
    <row r="45" ht="18.75" customHeight="1" s="115"/>
    <row r="46" ht="18.75" customHeight="1" s="115"/>
    <row r="47" ht="18.75" customHeight="1" s="115"/>
    <row r="48" ht="18.75" customHeight="1" s="115"/>
    <row r="49" ht="18.75" customHeight="1" s="115"/>
    <row r="50" ht="18.75" customHeight="1" s="115"/>
    <row r="51" ht="18.75" customHeight="1" s="115"/>
    <row r="52" ht="18.75" customHeight="1" s="115"/>
    <row r="53" ht="18.75" customHeight="1" s="115"/>
    <row r="54" ht="18.75" customHeight="1" s="115"/>
    <row r="55" ht="18.75" customHeight="1" s="115"/>
    <row r="56" ht="18.75" customHeight="1" s="115"/>
    <row r="57" ht="18.75" customHeight="1" s="115"/>
    <row r="58" ht="18.75" customHeight="1" s="115"/>
    <row r="59" ht="18.75" customHeight="1" s="115"/>
    <row r="60" ht="18.75" customHeight="1" s="115"/>
    <row r="61" ht="18.75" customHeight="1" s="115"/>
    <row r="62" ht="18.75" customHeight="1" s="115"/>
    <row r="63" ht="18.75" customHeight="1" s="115"/>
    <row r="64" ht="18.75" customHeight="1" s="115"/>
    <row r="65" ht="18.75" customHeight="1" s="115"/>
    <row r="66" ht="18.75" customHeight="1" s="115"/>
    <row r="67" ht="18.75" customHeight="1" s="115"/>
    <row r="68" ht="18.75" customHeight="1" s="115"/>
    <row r="69" ht="18.75" customHeight="1" s="115"/>
  </sheetData>
  <mergeCells count="7">
    <mergeCell ref="D4:F4"/>
    <mergeCell ref="B3:F3"/>
    <mergeCell ref="B5:F5"/>
    <mergeCell ref="B1:F2"/>
    <mergeCell ref="B17:F17"/>
    <mergeCell ref="B27:F27"/>
    <mergeCell ref="B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1:G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421875" defaultRowHeight="15" zeroHeight="0" outlineLevelRow="0"/>
  <cols>
    <col width="2.02" customWidth="1" style="114" min="1" max="1"/>
    <col width="22.06" customWidth="1" style="114" min="2" max="2"/>
    <col width="18.03" customWidth="1" style="114" min="3" max="4"/>
    <col width="11.97" customWidth="1" style="114" min="5" max="5"/>
    <col width="18.03" customWidth="1" style="114" min="6" max="6"/>
    <col width="22.06" customWidth="1" style="114" min="7" max="7"/>
    <col width="2.02" customWidth="1" style="114" min="8" max="8"/>
  </cols>
  <sheetData>
    <row r="1" ht="18.75" customHeight="1" s="115">
      <c r="B1" s="151" t="inlineStr">
        <is>
          <t>📈  INVESTMENT PORTFOLIO</t>
        </is>
      </c>
    </row>
    <row r="2" ht="18.75" customHeight="1" s="115"/>
    <row r="3" ht="18.75" customHeight="1" s="115">
      <c r="B3" s="124" t="inlineStr">
        <is>
          <t>INVESTMENT PORTFOLIO — XIRR / EXPECTED RETURN</t>
        </is>
      </c>
      <c r="C3" s="125" t="n"/>
      <c r="D3" s="125" t="n"/>
      <c r="E3" s="125" t="n"/>
      <c r="F3" s="125" t="n"/>
      <c r="G3" s="126" t="n"/>
    </row>
    <row r="4" ht="18.75" customHeight="1" s="115">
      <c r="B4" s="185" t="inlineStr">
        <is>
          <t>Investment Type</t>
        </is>
      </c>
      <c r="C4" s="185" t="inlineStr">
        <is>
          <t>Current Value (₹)</t>
        </is>
      </c>
      <c r="D4" s="185" t="inlineStr">
        <is>
          <t>Monthly SIP (₹)</t>
        </is>
      </c>
      <c r="E4" s="185" t="inlineStr">
        <is>
          <t>XIRR / Rate %</t>
        </is>
      </c>
      <c r="F4" s="185" t="inlineStr">
        <is>
          <t>Projected 10Y Value (₹)</t>
        </is>
      </c>
      <c r="G4" s="185" t="inlineStr">
        <is>
          <t>Notes</t>
        </is>
      </c>
    </row>
    <row r="5" ht="18.75" customHeight="1" s="115">
      <c r="B5" s="199" t="inlineStr">
        <is>
          <t>Equity Mutual Fund</t>
        </is>
      </c>
      <c r="C5" s="178" t="n">
        <v>200000</v>
      </c>
      <c r="D5" s="178" t="n">
        <v>10000</v>
      </c>
      <c r="E5" s="204" t="n">
        <v>0.12</v>
      </c>
      <c r="F5" s="160">
        <f>IFERROR(C5*POWER(1+E5,10)+IF(D5&gt;0,D5*(POWER(1+E5/12,10*12)-1)/(E5/12),0),0)</f>
        <v/>
      </c>
      <c r="G5" s="200" t="inlineStr">
        <is>
          <t>Diversified / Flexi Cap</t>
        </is>
      </c>
    </row>
    <row r="6" ht="18.75" customHeight="1" s="115">
      <c r="B6" s="199" t="inlineStr">
        <is>
          <t>Index Fund / ETF</t>
        </is>
      </c>
      <c r="C6" s="178" t="n">
        <v>100000</v>
      </c>
      <c r="D6" s="178" t="n">
        <v>5000</v>
      </c>
      <c r="E6" s="204" t="n">
        <v>0.11</v>
      </c>
      <c r="F6" s="159">
        <f>IFERROR(C6*POWER(1+E6,10)+IF(D6&gt;0,D6*(POWER(1+E6/12,10*12)-1)/(E6/12),0),0)</f>
        <v/>
      </c>
      <c r="G6" s="201" t="inlineStr">
        <is>
          <t>Nifty 50 / S&amp;P 500</t>
        </is>
      </c>
    </row>
    <row r="7" ht="18.75" customHeight="1" s="115">
      <c r="B7" s="199" t="inlineStr">
        <is>
          <t>Debt Mutual Fund</t>
        </is>
      </c>
      <c r="C7" s="178" t="n">
        <v>50000</v>
      </c>
      <c r="D7" s="178" t="n">
        <v>2000</v>
      </c>
      <c r="E7" s="204" t="n">
        <v>0.07000000000000001</v>
      </c>
      <c r="F7" s="160">
        <f>IFERROR(C7*POWER(1+E7,10)+IF(D7&gt;0,D7*(POWER(1+E7/12,10*12)-1)/(E7/12),0),0)</f>
        <v/>
      </c>
      <c r="G7" s="200" t="inlineStr">
        <is>
          <t>Short / Medium duration</t>
        </is>
      </c>
    </row>
    <row r="8" ht="18.75" customHeight="1" s="115">
      <c r="B8" s="199" t="inlineStr">
        <is>
          <t>Gold (ETF / SGB)</t>
        </is>
      </c>
      <c r="C8" s="178" t="n">
        <v>80000</v>
      </c>
      <c r="D8" s="178" t="n">
        <v>1000</v>
      </c>
      <c r="E8" s="204" t="n">
        <v>0.08</v>
      </c>
      <c r="F8" s="159">
        <f>IFERROR(C8*POWER(1+E8,10)+IF(D8&gt;0,D8*(POWER(1+E8/12,10*12)-1)/(E8/12),0),0)</f>
        <v/>
      </c>
      <c r="G8" s="201" t="inlineStr">
        <is>
          <t>Sovereign Gold Bond</t>
        </is>
      </c>
    </row>
    <row r="9" ht="18.75" customHeight="1" s="115">
      <c r="B9" s="199" t="inlineStr">
        <is>
          <t>Fixed Deposit</t>
        </is>
      </c>
      <c r="C9" s="178" t="n">
        <v>100000</v>
      </c>
      <c r="D9" s="178" t="n">
        <v>0</v>
      </c>
      <c r="E9" s="204" t="n">
        <v>0.07000000000000001</v>
      </c>
      <c r="F9" s="160">
        <f>IFERROR(C9*POWER(1+E9,10)+IF(D9&gt;0,D9*(POWER(1+E9/12,10*12)-1)/(E9/12),0),0)</f>
        <v/>
      </c>
      <c r="G9" s="200" t="inlineStr">
        <is>
          <t>Bank FD</t>
        </is>
      </c>
    </row>
    <row r="10" ht="18.75" customHeight="1" s="115">
      <c r="B10" s="199" t="inlineStr">
        <is>
          <t>PPF</t>
        </is>
      </c>
      <c r="C10" s="178" t="n">
        <v>150000</v>
      </c>
      <c r="D10" s="178" t="n">
        <v>5000</v>
      </c>
      <c r="E10" s="204" t="n">
        <v>0.07099999999999999</v>
      </c>
      <c r="F10" s="159">
        <f>IFERROR(C10*POWER(1+E10,10)+IF(D10&gt;0,D10*(POWER(1+E10/12,10*12)-1)/(E10/12),0),0)</f>
        <v/>
      </c>
      <c r="G10" s="201" t="inlineStr">
        <is>
          <t>Public Provident Fund</t>
        </is>
      </c>
    </row>
    <row r="11" ht="18.75" customHeight="1" s="115">
      <c r="B11" s="199" t="inlineStr">
        <is>
          <t>NPS</t>
        </is>
      </c>
      <c r="C11" s="178" t="n">
        <v>50000</v>
      </c>
      <c r="D11" s="178" t="n">
        <v>3000</v>
      </c>
      <c r="E11" s="204" t="n">
        <v>0.1</v>
      </c>
      <c r="F11" s="160">
        <f>IFERROR(C11*POWER(1+E11,10)+IF(D11&gt;0,D11*(POWER(1+E11/12,10*12)-1)/(E11/12),0),0)</f>
        <v/>
      </c>
      <c r="G11" s="200" t="inlineStr">
        <is>
          <t>National Pension System</t>
        </is>
      </c>
    </row>
    <row r="12" ht="18.75" customHeight="1" s="115">
      <c r="B12" s="199" t="inlineStr">
        <is>
          <t>US Stocks / ETF</t>
        </is>
      </c>
      <c r="C12" s="178" t="n">
        <v>30000</v>
      </c>
      <c r="D12" s="178" t="n">
        <v>2000</v>
      </c>
      <c r="E12" s="204" t="n">
        <v>0.11</v>
      </c>
      <c r="F12" s="159">
        <f>IFERROR(C12*POWER(1+E12,10)+IF(D12&gt;0,D12*(POWER(1+E12/12,10*12)-1)/(E12/12),0),0)</f>
        <v/>
      </c>
      <c r="G12" s="201" t="inlineStr">
        <is>
          <t>S&amp;P 500 index fund</t>
        </is>
      </c>
    </row>
    <row r="13" ht="18.75" customHeight="1" s="115">
      <c r="B13" s="199" t="inlineStr">
        <is>
          <t>Direct Stocks</t>
        </is>
      </c>
      <c r="C13" s="178" t="n">
        <v>0</v>
      </c>
      <c r="D13" s="178" t="n">
        <v>0</v>
      </c>
      <c r="E13" s="204" t="n">
        <v>0.13</v>
      </c>
      <c r="F13" s="160">
        <f>IFERROR(C13*POWER(1+E13,10)+IF(D13&gt;0,D13*(POWER(1+E13/12,10*12)-1)/(E13/12),0),0)</f>
        <v/>
      </c>
      <c r="G13" s="200" t="n"/>
    </row>
    <row r="14" ht="18.75" customHeight="1" s="115">
      <c r="B14" s="199" t="inlineStr">
        <is>
          <t>Real Estate (REITs)</t>
        </is>
      </c>
      <c r="C14" s="178" t="n">
        <v>0</v>
      </c>
      <c r="D14" s="178" t="n">
        <v>0</v>
      </c>
      <c r="E14" s="204" t="n">
        <v>0.09</v>
      </c>
      <c r="F14" s="159">
        <f>IFERROR(C14*POWER(1+E14,10)+IF(D14&gt;0,D14*(POWER(1+E14/12,10*12)-1)/(E14/12),0),0)</f>
        <v/>
      </c>
      <c r="G14" s="201" t="n"/>
    </row>
    <row r="15" ht="18.75" customHeight="1" s="115">
      <c r="B15" s="199" t="inlineStr">
        <is>
          <t>Crypto</t>
        </is>
      </c>
      <c r="C15" s="178" t="n">
        <v>0</v>
      </c>
      <c r="D15" s="178" t="n">
        <v>0</v>
      </c>
      <c r="E15" s="204" t="n">
        <v>0.18</v>
      </c>
      <c r="F15" s="160">
        <f>IFERROR(C15*POWER(1+E15,10)+IF(D15&gt;0,D15*(POWER(1+E15/12,10*12)-1)/(E15/12),0),0)</f>
        <v/>
      </c>
      <c r="G15" s="200" t="inlineStr">
        <is>
          <t>High risk</t>
        </is>
      </c>
    </row>
    <row r="16" ht="18.75" customHeight="1" s="115">
      <c r="B16" s="199" t="inlineStr">
        <is>
          <t>Other Investments</t>
        </is>
      </c>
      <c r="C16" s="178" t="n">
        <v>0</v>
      </c>
      <c r="D16" s="178" t="n">
        <v>0</v>
      </c>
      <c r="E16" s="204" t="n">
        <v>0.08</v>
      </c>
      <c r="F16" s="159">
        <f>IFERROR(C16*POWER(1+E16,10)+IF(D16&gt;0,D16*(POWER(1+E16/12,10*12)-1)/(E16/12),0),0)</f>
        <v/>
      </c>
      <c r="G16" s="201" t="n"/>
    </row>
    <row r="17" ht="18.75" customHeight="1" s="115">
      <c r="B17" s="205" t="inlineStr">
        <is>
          <t>TOTAL PORTFOLIO</t>
        </is>
      </c>
      <c r="C17" s="206">
        <f>SUM(C5:C16)</f>
        <v/>
      </c>
      <c r="D17" s="206">
        <f>SUM(D5:D16)</f>
        <v/>
      </c>
      <c r="F17" s="206">
        <f>SUM(F5:F16)</f>
        <v/>
      </c>
    </row>
    <row r="18" ht="18.75" customHeight="1" s="115">
      <c r="B18" s="127" t="inlineStr">
        <is>
          <t>Weighted Portfolio XIRR</t>
        </is>
      </c>
      <c r="E18" s="207">
        <f>IFERROR(SUMPRODUCT(C5:C16,E5:E16)/SUMIF(C5:C16,"&gt;0",C5:C16),0.1)</f>
        <v/>
      </c>
    </row>
    <row r="19" ht="18.75" customHeight="1" s="115"/>
    <row r="20" ht="7.5" customHeight="1" s="115"/>
    <row r="21" ht="18.75" customHeight="1" s="115">
      <c r="B21" s="124" t="inlineStr">
        <is>
          <t>📊  XIRR REFERENCE GUIDE (Historical / Expected)</t>
        </is>
      </c>
      <c r="C21" s="125" t="n"/>
      <c r="D21" s="125" t="n"/>
      <c r="E21" s="125" t="n"/>
      <c r="F21" s="125" t="n"/>
      <c r="G21" s="126" t="n"/>
    </row>
    <row r="22" ht="18.75" customHeight="1" s="115">
      <c r="B22" s="185" t="inlineStr">
        <is>
          <t>Asset Class</t>
        </is>
      </c>
      <c r="C22" s="185" t="inlineStr">
        <is>
          <t>Low</t>
        </is>
      </c>
      <c r="D22" s="185" t="inlineStr">
        <is>
          <t>Mid</t>
        </is>
      </c>
      <c r="E22" s="185" t="inlineStr">
        <is>
          <t>High</t>
        </is>
      </c>
      <c r="F22" s="185" t="inlineStr">
        <is>
          <t>Risk</t>
        </is>
      </c>
      <c r="G22" s="185" t="inlineStr">
        <is>
          <t>Notes</t>
        </is>
      </c>
    </row>
    <row r="23" ht="18.75" customHeight="1" s="115">
      <c r="B23" s="208" t="inlineStr">
        <is>
          <t>Equity Mutual Fund</t>
        </is>
      </c>
      <c r="C23" s="209" t="inlineStr">
        <is>
          <t>10%</t>
        </is>
      </c>
      <c r="D23" s="209" t="inlineStr">
        <is>
          <t>12%</t>
        </is>
      </c>
      <c r="E23" s="210" t="inlineStr">
        <is>
          <t>15%</t>
        </is>
      </c>
      <c r="F23" s="211" t="inlineStr">
        <is>
          <t>High</t>
        </is>
      </c>
      <c r="G23" s="209" t="inlineStr">
        <is>
          <t>10Y+ horizon</t>
        </is>
      </c>
    </row>
    <row r="24" ht="18.75" customHeight="1" s="115">
      <c r="B24" s="212" t="inlineStr">
        <is>
          <t>Index Fund / ETF</t>
        </is>
      </c>
      <c r="C24" s="213" t="inlineStr">
        <is>
          <t>9%</t>
        </is>
      </c>
      <c r="D24" s="213" t="inlineStr">
        <is>
          <t>11%</t>
        </is>
      </c>
      <c r="E24" s="210" t="inlineStr">
        <is>
          <t>12%</t>
        </is>
      </c>
      <c r="F24" s="211" t="inlineStr">
        <is>
          <t>Medium-High</t>
        </is>
      </c>
      <c r="G24" s="213" t="inlineStr">
        <is>
          <t>Low cost, market returns</t>
        </is>
      </c>
    </row>
    <row r="25" ht="18.75" customHeight="1" s="115">
      <c r="B25" s="208" t="inlineStr">
        <is>
          <t>NPS (Equity)</t>
        </is>
      </c>
      <c r="C25" s="209" t="inlineStr">
        <is>
          <t>8%</t>
        </is>
      </c>
      <c r="D25" s="209" t="inlineStr">
        <is>
          <t>10%</t>
        </is>
      </c>
      <c r="E25" s="210" t="inlineStr">
        <is>
          <t>11%</t>
        </is>
      </c>
      <c r="F25" s="211" t="inlineStr">
        <is>
          <t>Medium</t>
        </is>
      </c>
      <c r="G25" s="209" t="inlineStr">
        <is>
          <t>Long lock-in</t>
        </is>
      </c>
    </row>
    <row r="26" ht="18.75" customHeight="1" s="115">
      <c r="B26" s="212" t="inlineStr">
        <is>
          <t>Gold (ETF/SGB)</t>
        </is>
      </c>
      <c r="C26" s="213" t="inlineStr">
        <is>
          <t>6%</t>
        </is>
      </c>
      <c r="D26" s="213" t="inlineStr">
        <is>
          <t>8%</t>
        </is>
      </c>
      <c r="E26" s="210" t="inlineStr">
        <is>
          <t>10%</t>
        </is>
      </c>
      <c r="F26" s="211" t="inlineStr">
        <is>
          <t>Medium</t>
        </is>
      </c>
      <c r="G26" s="213" t="inlineStr">
        <is>
          <t>Hedge against inflation</t>
        </is>
      </c>
    </row>
    <row r="27" ht="18.75" customHeight="1" s="115">
      <c r="B27" s="208" t="inlineStr">
        <is>
          <t>PPF</t>
        </is>
      </c>
      <c r="C27" s="209" t="inlineStr">
        <is>
          <t>7.1%</t>
        </is>
      </c>
      <c r="D27" s="209" t="inlineStr">
        <is>
          <t>7.1%</t>
        </is>
      </c>
      <c r="E27" s="210" t="inlineStr">
        <is>
          <t>7.1%</t>
        </is>
      </c>
      <c r="F27" s="211" t="inlineStr">
        <is>
          <t>Low</t>
        </is>
      </c>
      <c r="G27" s="209" t="inlineStr">
        <is>
          <t>Tax-free, guaranteed</t>
        </is>
      </c>
    </row>
    <row r="28" ht="18.75" customHeight="1" s="115">
      <c r="B28" s="212" t="inlineStr">
        <is>
          <t>Fixed Deposit</t>
        </is>
      </c>
      <c r="C28" s="213" t="inlineStr">
        <is>
          <t>6.5%</t>
        </is>
      </c>
      <c r="D28" s="213" t="inlineStr">
        <is>
          <t>7%</t>
        </is>
      </c>
      <c r="E28" s="210" t="inlineStr">
        <is>
          <t>7.5%</t>
        </is>
      </c>
      <c r="F28" s="211" t="inlineStr">
        <is>
          <t>Very Low</t>
        </is>
      </c>
      <c r="G28" s="213" t="inlineStr">
        <is>
          <t>Taxable interest</t>
        </is>
      </c>
    </row>
    <row r="29" ht="18.75" customHeight="1" s="115">
      <c r="B29" s="208" t="inlineStr">
        <is>
          <t>Debt Mutual Fund</t>
        </is>
      </c>
      <c r="C29" s="209" t="inlineStr">
        <is>
          <t>6%</t>
        </is>
      </c>
      <c r="D29" s="209" t="inlineStr">
        <is>
          <t>7%</t>
        </is>
      </c>
      <c r="E29" s="210" t="inlineStr">
        <is>
          <t>8%</t>
        </is>
      </c>
      <c r="F29" s="211" t="inlineStr">
        <is>
          <t>Low-Medium</t>
        </is>
      </c>
      <c r="G29" s="209" t="inlineStr">
        <is>
          <t>Better than FD post-tax</t>
        </is>
      </c>
    </row>
    <row r="30" ht="18.75" customHeight="1" s="115">
      <c r="B30" s="212" t="inlineStr">
        <is>
          <t>US ETF (S&amp;P 500)</t>
        </is>
      </c>
      <c r="C30" s="213" t="inlineStr">
        <is>
          <t>9%</t>
        </is>
      </c>
      <c r="D30" s="213" t="inlineStr">
        <is>
          <t>11%</t>
        </is>
      </c>
      <c r="E30" s="210" t="inlineStr">
        <is>
          <t>13%</t>
        </is>
      </c>
      <c r="F30" s="211" t="inlineStr">
        <is>
          <t>Medium-High</t>
        </is>
      </c>
      <c r="G30" s="213" t="inlineStr">
        <is>
          <t>Currency risk</t>
        </is>
      </c>
    </row>
    <row r="31" ht="18.75" customHeight="1" s="115">
      <c r="B31" s="208" t="inlineStr">
        <is>
          <t>Direct Stocks</t>
        </is>
      </c>
      <c r="C31" s="209" t="inlineStr">
        <is>
          <t>8%</t>
        </is>
      </c>
      <c r="D31" s="209" t="inlineStr">
        <is>
          <t>13%</t>
        </is>
      </c>
      <c r="E31" s="210" t="inlineStr">
        <is>
          <t>20%</t>
        </is>
      </c>
      <c r="F31" s="211" t="inlineStr">
        <is>
          <t>Very High</t>
        </is>
      </c>
      <c r="G31" s="209" t="inlineStr">
        <is>
          <t>Stock picking risk</t>
        </is>
      </c>
    </row>
    <row r="32" ht="18.75" customHeight="1" s="115">
      <c r="B32" s="212" t="inlineStr">
        <is>
          <t>Crypto</t>
        </is>
      </c>
      <c r="C32" s="213" t="inlineStr">
        <is>
          <t>0%</t>
        </is>
      </c>
      <c r="D32" s="213" t="inlineStr">
        <is>
          <t>18%</t>
        </is>
      </c>
      <c r="E32" s="210" t="inlineStr">
        <is>
          <t>40%</t>
        </is>
      </c>
      <c r="F32" s="211" t="inlineStr">
        <is>
          <t>Extreme</t>
        </is>
      </c>
      <c r="G32" s="213" t="inlineStr">
        <is>
          <t>Speculative only</t>
        </is>
      </c>
    </row>
    <row r="33" ht="18.75" customHeight="1" s="115"/>
    <row r="34" ht="18.75" customHeight="1" s="115"/>
    <row r="35" ht="18.75" customHeight="1" s="115"/>
    <row r="36" ht="18.75" customHeight="1" s="115">
      <c r="B36" s="195">
        <f>D17</f>
        <v/>
      </c>
    </row>
    <row r="37" ht="18.75" customHeight="1" s="115"/>
    <row r="38" ht="18.75" customHeight="1" s="115">
      <c r="B38" s="195">
        <f>C17</f>
        <v/>
      </c>
    </row>
    <row r="39" ht="18.75" customHeight="1" s="115"/>
    <row r="40" ht="18.75" customHeight="1" s="115"/>
    <row r="41" ht="18.75" customHeight="1" s="115"/>
    <row r="42" ht="18.75" customHeight="1" s="115"/>
    <row r="43" ht="18.75" customHeight="1" s="115"/>
    <row r="44" ht="18.75" customHeight="1" s="115"/>
    <row r="45" ht="18.75" customHeight="1" s="115"/>
    <row r="46" ht="18.75" customHeight="1" s="115"/>
    <row r="47" ht="18.75" customHeight="1" s="115"/>
    <row r="48" ht="18.75" customHeight="1" s="115"/>
    <row r="49" ht="18.75" customHeight="1" s="115"/>
    <row r="50" ht="18.75" customHeight="1" s="115"/>
    <row r="51" ht="18.75" customHeight="1" s="115"/>
    <row r="52" ht="18.75" customHeight="1" s="115"/>
    <row r="53" ht="18.75" customHeight="1" s="115"/>
    <row r="54" ht="18.75" customHeight="1" s="115"/>
    <row r="55" ht="18.75" customHeight="1" s="115"/>
    <row r="56" ht="18.75" customHeight="1" s="115"/>
    <row r="57" ht="18.75" customHeight="1" s="115"/>
    <row r="58" ht="18.75" customHeight="1" s="115"/>
    <row r="59" ht="18.75" customHeight="1" s="115"/>
  </sheetData>
  <mergeCells count="3">
    <mergeCell ref="B3:G3"/>
    <mergeCell ref="B21:G21"/>
    <mergeCell ref="B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1:F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421875" defaultRowHeight="15" zeroHeight="0" outlineLevelRow="0"/>
  <cols>
    <col width="2.02" customWidth="1" style="114" min="1" max="1"/>
    <col width="25.97" customWidth="1" style="114" min="2" max="2"/>
    <col width="16.01" customWidth="1" style="114" min="3" max="4"/>
    <col width="18.03" customWidth="1" style="114" min="5" max="5"/>
    <col width="22.06" customWidth="1" style="114" min="6" max="6"/>
    <col width="2.02" customWidth="1" style="114" min="7" max="7"/>
  </cols>
  <sheetData>
    <row r="1" ht="18.75" customHeight="1" s="115">
      <c r="B1" s="151" t="inlineStr">
        <is>
          <t>🎯  LIFE EVENTS &amp; GOALS</t>
        </is>
      </c>
    </row>
    <row r="2" ht="18.75" customHeight="1" s="115"/>
    <row r="3" ht="18.75" customHeight="1" s="115">
      <c r="B3" s="124" t="inlineStr">
        <is>
          <t>💑  MARRIAGE</t>
        </is>
      </c>
      <c r="C3" s="125" t="n"/>
      <c r="D3" s="125" t="n"/>
      <c r="E3" s="125" t="n"/>
      <c r="F3" s="126" t="n"/>
    </row>
    <row r="4" ht="18.75" customHeight="1" s="115">
      <c r="B4" s="214" t="n"/>
      <c r="C4" s="214" t="inlineStr">
        <is>
          <t>Marry? (Yes/No)</t>
        </is>
      </c>
      <c r="D4" s="214" t="inlineStr">
        <is>
          <t>Your Age</t>
        </is>
      </c>
      <c r="E4" s="215" t="inlineStr">
        <is>
          <t>Today Cost (₹)</t>
        </is>
      </c>
      <c r="F4" s="214" t="inlineStr">
        <is>
          <t>Inflated Cost (₹)</t>
        </is>
      </c>
    </row>
    <row r="5" ht="7.5" customHeight="1" s="115">
      <c r="B5" s="146" t="inlineStr">
        <is>
          <t>Marriage</t>
        </is>
      </c>
      <c r="C5" s="155" t="inlineStr">
        <is>
          <t>Yes</t>
        </is>
      </c>
      <c r="D5" s="152" t="n">
        <v>32</v>
      </c>
      <c r="E5" s="178" t="n">
        <v>1500000</v>
      </c>
      <c r="F5" s="216">
        <f>IF(LOWER(C5)="yes",E5*POWER(1+Profile!C7,MAX(0,D5-Profile!C4)),0)</f>
        <v/>
      </c>
    </row>
    <row r="6" ht="18.75" customHeight="1" s="115">
      <c r="B6" s="124" t="inlineStr">
        <is>
          <t>👶  CHILDREN</t>
        </is>
      </c>
      <c r="C6" s="125" t="n"/>
      <c r="D6" s="125" t="n"/>
      <c r="E6" s="125" t="n"/>
      <c r="F6" s="126" t="n"/>
    </row>
    <row r="7" ht="18.75" customHeight="1" s="115">
      <c r="B7" s="185" t="inlineStr">
        <is>
          <t>Child</t>
        </is>
      </c>
      <c r="C7" s="185" t="inlineStr">
        <is>
          <t>Your Age at Birth</t>
        </is>
      </c>
      <c r="D7" s="185" t="inlineStr">
        <is>
          <t>Monthly Cost</t>
        </is>
      </c>
      <c r="E7" s="185" t="inlineStr">
        <is>
          <t>Education Cost (today ₹)</t>
        </is>
      </c>
      <c r="F7" s="185" t="inlineStr">
        <is>
          <t>Inflated Edu. Cost</t>
        </is>
      </c>
    </row>
    <row r="8" ht="18.75" customHeight="1" s="115">
      <c r="B8" s="127" t="inlineStr">
        <is>
          <t>Child 1</t>
        </is>
      </c>
      <c r="C8" s="152" t="n">
        <v>31</v>
      </c>
      <c r="D8" s="178" t="n">
        <v>15000</v>
      </c>
      <c r="E8" s="178" t="n">
        <v>2500000</v>
      </c>
      <c r="F8" s="216">
        <f>IF(C8&gt;0,E8*POWER(1+Profile!C7,MAX(0,C8+18-Profile!C4)),0)</f>
        <v/>
      </c>
    </row>
    <row r="9" ht="18.75" customHeight="1" s="115">
      <c r="B9" s="130" t="inlineStr">
        <is>
          <t>Education Inflation Override (%)</t>
        </is>
      </c>
      <c r="C9" s="152" t="n">
        <v>0</v>
      </c>
      <c r="D9" s="178" t="n">
        <v>0</v>
      </c>
      <c r="E9" s="178" t="n">
        <v>0</v>
      </c>
      <c r="F9" s="216">
        <f>IF(C9&gt;0,E9*POWER(1+Profile!C7,MAX(0,C9+18-Profile!C4)),0)</f>
        <v/>
      </c>
    </row>
    <row r="10" ht="18.75" customHeight="1" s="115">
      <c r="B10" s="146" t="inlineStr">
        <is>
          <t>Education Inflation (%)</t>
        </is>
      </c>
      <c r="C10" s="154" t="n">
        <v>0.1</v>
      </c>
      <c r="D10" s="178" t="n">
        <v>0</v>
      </c>
      <c r="E10" s="178" t="n">
        <v>0</v>
      </c>
      <c r="F10" s="216">
        <f>IF(C10&gt;0,E10*POWER(1+Profile!C7,MAX(0,C10+18-Profile!C4)),0)</f>
        <v/>
      </c>
    </row>
    <row r="11" ht="18.75" customHeight="1" s="115">
      <c r="B11" s="189" t="inlineStr">
        <is>
          <t>TOTAL CHILDREN EDUCATION</t>
        </is>
      </c>
      <c r="E11" s="198">
        <f>SUM(F8:F10)</f>
        <v/>
      </c>
    </row>
    <row r="12" ht="7.5" customHeight="1" s="115"/>
    <row r="13" ht="18.75" customHeight="1" s="115">
      <c r="B13" s="124" t="inlineStr">
        <is>
          <t>✈️  CUSTOM LIFE GOALS</t>
        </is>
      </c>
      <c r="C13" s="125" t="n"/>
      <c r="D13" s="125" t="n"/>
      <c r="E13" s="125" t="n"/>
      <c r="F13" s="126" t="n"/>
    </row>
    <row r="14" ht="18.75" customHeight="1" s="115">
      <c r="B14" s="185" t="inlineStr">
        <is>
          <t>Goal Name</t>
        </is>
      </c>
      <c r="C14" s="185" t="inlineStr">
        <is>
          <t>Your Age</t>
        </is>
      </c>
      <c r="D14" s="185" t="inlineStr">
        <is>
          <t>Priority</t>
        </is>
      </c>
      <c r="E14" s="185" t="inlineStr">
        <is>
          <t>Today's Cost (₹)</t>
        </is>
      </c>
      <c r="F14" s="185" t="inlineStr">
        <is>
          <t>Inflated Cost (₹)</t>
        </is>
      </c>
    </row>
    <row r="15" ht="18.75" customHeight="1" s="115">
      <c r="B15" s="199" t="inlineStr">
        <is>
          <t>Dream Vacation</t>
        </is>
      </c>
      <c r="C15" s="152" t="n">
        <v>38</v>
      </c>
      <c r="D15" s="217" t="inlineStr">
        <is>
          <t>High</t>
        </is>
      </c>
      <c r="E15" s="218" t="n">
        <v>500000</v>
      </c>
      <c r="F15" s="160">
        <f>IF(C15&gt;0,E15*POWER(1+Profile!C7,MAX(0,C15-Profile!C4)),0)</f>
        <v/>
      </c>
    </row>
    <row r="16" ht="18.75" customHeight="1" s="115">
      <c r="B16" s="199" t="inlineStr">
        <is>
          <t>Business / Startup</t>
        </is>
      </c>
      <c r="C16" s="152" t="n">
        <v>40</v>
      </c>
      <c r="D16" s="217" t="inlineStr">
        <is>
          <t>Medium</t>
        </is>
      </c>
      <c r="E16" s="178" t="n">
        <v>2000000</v>
      </c>
      <c r="F16" s="159">
        <f>IF(C16&gt;0,E16*POWER(1+Profile!C7,MAX(0,C16-Profile!C4)),0)</f>
        <v/>
      </c>
    </row>
    <row r="17" ht="18.75" customHeight="1" s="115">
      <c r="B17" s="199" t="inlineStr">
        <is>
          <t>Second Home / Land</t>
        </is>
      </c>
      <c r="C17" s="152" t="n">
        <v>45</v>
      </c>
      <c r="D17" s="217" t="inlineStr">
        <is>
          <t>Low</t>
        </is>
      </c>
      <c r="E17" s="178" t="n">
        <v>0</v>
      </c>
      <c r="F17" s="160">
        <f>IF(C17&gt;0,E17*POWER(1+Profile!C7,MAX(0,C17-Profile!C4)),0)</f>
        <v/>
      </c>
    </row>
    <row r="18" ht="18.75" customHeight="1" s="115">
      <c r="B18" s="199" t="inlineStr">
        <is>
          <t>Car Upgrade</t>
        </is>
      </c>
      <c r="C18" s="152" t="n">
        <v>35</v>
      </c>
      <c r="D18" s="217" t="inlineStr">
        <is>
          <t>Medium</t>
        </is>
      </c>
      <c r="E18" s="178" t="n">
        <v>1000000</v>
      </c>
      <c r="F18" s="159">
        <f>IF(C18&gt;0,E18*POWER(1+Profile!C7,MAX(0,C18-Profile!C4)),0)</f>
        <v/>
      </c>
    </row>
    <row r="19" ht="18.75" customHeight="1" s="115">
      <c r="B19" s="199" t="inlineStr">
        <is>
          <t>Parent Care Fund</t>
        </is>
      </c>
      <c r="C19" s="152" t="n">
        <v>50</v>
      </c>
      <c r="D19" s="217" t="inlineStr">
        <is>
          <t>High</t>
        </is>
      </c>
      <c r="E19" s="178" t="n">
        <v>1000000</v>
      </c>
      <c r="F19" s="160">
        <f>IF(C19&gt;0,E19*POWER(1+Profile!C7,MAX(0,C19-Profile!C4)),0)</f>
        <v/>
      </c>
    </row>
    <row r="20" ht="18.75" customHeight="1" s="115">
      <c r="B20" s="199" t="inlineStr">
        <is>
          <t>Custom Goal 1</t>
        </is>
      </c>
      <c r="C20" s="152" t="n">
        <v>0</v>
      </c>
      <c r="D20" s="217" t="inlineStr">
        <is>
          <t>—</t>
        </is>
      </c>
      <c r="E20" s="178" t="n">
        <v>0</v>
      </c>
      <c r="F20" s="159">
        <f>IF(C20&gt;0,E20*POWER(1+Profile!C7,MAX(0,C20-Profile!C4)),0)</f>
        <v/>
      </c>
    </row>
    <row r="21" ht="18.75" customHeight="1" s="115">
      <c r="B21" s="199" t="inlineStr">
        <is>
          <t>Custom Goal 2</t>
        </is>
      </c>
      <c r="C21" s="152" t="n">
        <v>0</v>
      </c>
      <c r="D21" s="217" t="inlineStr">
        <is>
          <t>—</t>
        </is>
      </c>
      <c r="E21" s="178" t="n">
        <v>0</v>
      </c>
      <c r="F21" s="160">
        <f>IF(C21&gt;0,E21*POWER(1+Profile!C7,MAX(0,C21-Profile!C4)),0)</f>
        <v/>
      </c>
    </row>
    <row r="22" ht="18.75" customHeight="1" s="115">
      <c r="B22" s="199" t="inlineStr">
        <is>
          <t>Custom Goal 3</t>
        </is>
      </c>
      <c r="C22" s="152" t="n">
        <v>0</v>
      </c>
      <c r="D22" s="217" t="inlineStr">
        <is>
          <t>—</t>
        </is>
      </c>
      <c r="E22" s="178" t="n">
        <v>0</v>
      </c>
      <c r="F22" s="159">
        <f>IF(C22&gt;0,E22*POWER(1+Profile!C7,MAX(0,C22-Profile!C4)),0)</f>
        <v/>
      </c>
    </row>
    <row r="23" ht="18.75" customHeight="1" s="115">
      <c r="B23" s="189" t="inlineStr">
        <is>
          <t>TOTAL CUSTOM GOALS</t>
        </is>
      </c>
      <c r="E23" s="198">
        <f>SUM(F15:F22)</f>
        <v/>
      </c>
    </row>
    <row r="24" ht="7.5" customHeight="1" s="115"/>
    <row r="25" ht="18.75" customHeight="1" s="115">
      <c r="B25" s="163" t="inlineStr">
        <is>
          <t>📊  TOTAL LIFE EVENTS IMPACT</t>
        </is>
      </c>
      <c r="C25" s="125" t="n"/>
      <c r="D25" s="125" t="n"/>
      <c r="E25" s="125" t="n"/>
      <c r="F25" s="126" t="n"/>
    </row>
    <row r="26" ht="18.75" customHeight="1" s="115">
      <c r="B26" s="127" t="inlineStr">
        <is>
          <t>Marriage Cost (inflated)</t>
        </is>
      </c>
      <c r="E26" s="162">
        <f>F5</f>
        <v/>
      </c>
    </row>
    <row r="27" ht="18.75" customHeight="1" s="115">
      <c r="B27" s="130" t="inlineStr">
        <is>
          <t>Children Education (inflated)</t>
        </is>
      </c>
      <c r="E27" s="219">
        <f>E11</f>
        <v/>
      </c>
    </row>
    <row r="28" ht="18.75" customHeight="1" s="115">
      <c r="B28" s="127" t="inlineStr">
        <is>
          <t>Custom Goals (inflated)</t>
        </is>
      </c>
      <c r="E28" s="218">
        <f>E23</f>
        <v/>
      </c>
    </row>
    <row r="29" ht="25.5" customHeight="1" s="115">
      <c r="B29" s="220" t="inlineStr">
        <is>
          <t>GRAND TOTAL LIFE EVENTS</t>
        </is>
      </c>
      <c r="E29" s="164">
        <f>E26+E27+E28</f>
        <v/>
      </c>
    </row>
    <row r="30" ht="18.75" customHeight="1" s="115">
      <c r="E30" s="218">
        <f>E29</f>
        <v/>
      </c>
    </row>
    <row r="31" ht="18.75" customHeight="1" s="115"/>
    <row r="32" ht="18.75" customHeight="1" s="115"/>
    <row r="33" ht="18.75" customHeight="1" s="115"/>
    <row r="34" ht="18.75" customHeight="1" s="115"/>
    <row r="35" ht="18.75" customHeight="1" s="115"/>
    <row r="36" ht="18.75" customHeight="1" s="115"/>
    <row r="37" ht="18.75" customHeight="1" s="115"/>
    <row r="38" ht="18.75" customHeight="1" s="115"/>
    <row r="39" ht="18.75" customHeight="1" s="115"/>
    <row r="40" ht="18.75" customHeight="1" s="115"/>
    <row r="41" ht="18.75" customHeight="1" s="115"/>
    <row r="42" ht="18.75" customHeight="1" s="115"/>
    <row r="43" ht="18.75" customHeight="1" s="115"/>
    <row r="44" ht="18.75" customHeight="1" s="115"/>
    <row r="45" ht="18.75" customHeight="1" s="115"/>
    <row r="46" ht="18.75" customHeight="1" s="115"/>
    <row r="47" ht="18.75" customHeight="1" s="115"/>
    <row r="48" ht="18.75" customHeight="1" s="115"/>
    <row r="49" ht="18.75" customHeight="1" s="115"/>
    <row r="50" ht="18.75" customHeight="1" s="115"/>
    <row r="51" ht="18.75" customHeight="1" s="115"/>
    <row r="52" ht="18.75" customHeight="1" s="115"/>
    <row r="53" ht="18.75" customHeight="1" s="115"/>
    <row r="54" ht="18.75" customHeight="1" s="115"/>
  </sheetData>
  <mergeCells count="5">
    <mergeCell ref="B6:F6"/>
    <mergeCell ref="B25:F25"/>
    <mergeCell ref="B3:F3"/>
    <mergeCell ref="B1:F2"/>
    <mergeCell ref="B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68"/>
  <sheetViews>
    <sheetView showFormulas="0" showGridLines="0" showRowColHeaders="1" showZeros="1" rightToLeft="0" tabSelected="1" showOutlineSymbols="1" defaultGridColor="1" view="normal" topLeftCell="A14" colorId="64" zoomScale="100" zoomScaleNormal="100" zoomScalePageLayoutView="100" workbookViewId="0">
      <selection pane="topLeft" activeCell="A1" activeCellId="0" sqref="A1"/>
    </sheetView>
  </sheetViews>
  <sheetFormatPr baseColWidth="8" defaultColWidth="8.7421875" defaultRowHeight="15" zeroHeight="0" outlineLevelRow="0"/>
  <cols>
    <col width="6.05" customWidth="1" style="114" min="1" max="1"/>
    <col width="9.94" customWidth="1" style="114" min="2" max="2"/>
    <col width="13.99" customWidth="1" style="114" min="3" max="3"/>
    <col width="18.03" customWidth="1" style="114" min="4" max="7"/>
    <col width="13.99" customWidth="1" style="114" min="8" max="9"/>
  </cols>
  <sheetData>
    <row r="1" ht="18" customHeight="1" s="115">
      <c r="A1" s="151" t="inlineStr">
        <is>
          <t>📈  WEALTH PROJECTION — Year by Year</t>
        </is>
      </c>
    </row>
    <row r="2" ht="18" customHeight="1" s="115"/>
    <row r="3" ht="18" customHeight="1" s="115"/>
    <row r="4" ht="18" customHeight="1" s="115"/>
    <row r="5" ht="18" customHeight="1" s="115">
      <c r="A5" s="146" t="inlineStr">
        <is>
          <t>Years to Freedom →</t>
        </is>
      </c>
      <c r="B5" s="221">
        <f>IFERROR(MATCH(TRUE(),INDEX(Projections!E8:E68&gt;=Profile!C30,0),0)-1,"&gt;55")</f>
        <v/>
      </c>
    </row>
    <row r="6" ht="18" customHeight="1" s="115">
      <c r="A6" s="124" t="inlineStr">
        <is>
          <t>📊  ANNUAL WEALTH PROJECTION TABLE</t>
        </is>
      </c>
      <c r="B6" s="125" t="n"/>
      <c r="C6" s="125" t="n"/>
      <c r="D6" s="125" t="n"/>
      <c r="E6" s="125" t="n"/>
      <c r="F6" s="125" t="n"/>
      <c r="G6" s="125" t="n"/>
      <c r="H6" s="125" t="n"/>
      <c r="I6" s="126" t="n"/>
    </row>
    <row r="7" ht="18" customHeight="1" s="115">
      <c r="A7" s="185" t="inlineStr">
        <is>
          <t>Year</t>
        </is>
      </c>
      <c r="B7" s="185" t="inlineStr">
        <is>
          <t>Age</t>
        </is>
      </c>
      <c r="C7" s="185" t="inlineStr">
        <is>
          <t>Annual SIP (₹)</t>
        </is>
      </c>
      <c r="D7" s="185" t="inlineStr">
        <is>
          <t>Investment Value (₹)</t>
        </is>
      </c>
      <c r="E7" s="185" t="inlineStr">
        <is>
          <t>Projected Corpus (₹)</t>
        </is>
      </c>
      <c r="F7" s="185" t="inlineStr">
        <is>
          <t>Freedom Number (₹)</t>
        </is>
      </c>
      <c r="G7" s="185" t="inlineStr">
        <is>
          <t>Surplus / Gap (₹)</t>
        </is>
      </c>
      <c r="H7" s="185" t="inlineStr">
        <is>
          <t>Progress %</t>
        </is>
      </c>
      <c r="I7" s="185" t="inlineStr">
        <is>
          <t>Status</t>
        </is>
      </c>
    </row>
    <row r="8" ht="18" customHeight="1" s="115">
      <c r="A8" s="209" t="n">
        <v>0</v>
      </c>
      <c r="B8" s="222">
        <f>Profile!C4</f>
        <v/>
      </c>
      <c r="C8" s="223">
        <f>Investments!B36*12</f>
        <v/>
      </c>
      <c r="D8" s="223">
        <f>Investments!B38</f>
        <v/>
      </c>
      <c r="E8" s="223">
        <f>D8</f>
        <v/>
      </c>
      <c r="F8" s="223">
        <f>Profile!C30</f>
        <v/>
      </c>
      <c r="G8" s="223">
        <f>E8-F8</f>
        <v/>
      </c>
      <c r="H8" s="224">
        <f>IFERROR(E8/F8,0)</f>
        <v/>
      </c>
      <c r="I8" s="225">
        <f>IF(E8&gt;=F8,"🏆 FREE!","Working...")</f>
        <v/>
      </c>
    </row>
    <row r="9" ht="18" customHeight="1" s="115">
      <c r="A9" s="226" t="inlineStr">
        <is>
          <t>1</t>
        </is>
      </c>
      <c r="B9" s="226">
        <f>Profile!C4+1</f>
        <v/>
      </c>
      <c r="C9" s="227">
        <f>Investments!B36*12</f>
        <v/>
      </c>
      <c r="D9" s="227">
        <f>D8*(1+IFERROR(Investments!E18,0.1))+C9</f>
        <v/>
      </c>
      <c r="E9" s="227">
        <f>D9</f>
        <v/>
      </c>
      <c r="F9" s="227">
        <f>Profile!C30</f>
        <v/>
      </c>
      <c r="G9" s="227">
        <f>E9-F9</f>
        <v/>
      </c>
      <c r="H9" s="228">
        <f>IFERROR(E9/F9,0)</f>
        <v/>
      </c>
      <c r="I9" s="229">
        <f>IF(E9&gt;=F9,"🏆 FREE!","Working...")</f>
        <v/>
      </c>
    </row>
    <row r="10" ht="18" customHeight="1" s="115">
      <c r="A10" s="222" t="inlineStr">
        <is>
          <t>2</t>
        </is>
      </c>
      <c r="B10" s="222">
        <f>Profile!C4+2</f>
        <v/>
      </c>
      <c r="C10" s="223">
        <f>Investments!B36*12</f>
        <v/>
      </c>
      <c r="D10" s="223">
        <f>D9*(1+IFERROR(Investments!E18,0.1))+C10</f>
        <v/>
      </c>
      <c r="E10" s="223">
        <f>D10</f>
        <v/>
      </c>
      <c r="F10" s="223">
        <f>Profile!C30</f>
        <v/>
      </c>
      <c r="G10" s="223">
        <f>E10-F10</f>
        <v/>
      </c>
      <c r="H10" s="224">
        <f>IFERROR(E10/F10,0)</f>
        <v/>
      </c>
      <c r="I10" s="230">
        <f>IF(E10&gt;=F10,"🏆 FREE!","Working...")</f>
        <v/>
      </c>
    </row>
    <row r="11" ht="18" customHeight="1" s="115">
      <c r="A11" s="226" t="inlineStr">
        <is>
          <t>3</t>
        </is>
      </c>
      <c r="B11" s="226">
        <f>Profile!C4+3</f>
        <v/>
      </c>
      <c r="C11" s="227">
        <f>Investments!B36*12</f>
        <v/>
      </c>
      <c r="D11" s="227">
        <f>D10*(1+IFERROR(Investments!E18,0.1))+C11</f>
        <v/>
      </c>
      <c r="E11" s="227">
        <f>D11</f>
        <v/>
      </c>
      <c r="F11" s="227">
        <f>Profile!C30</f>
        <v/>
      </c>
      <c r="G11" s="227">
        <f>E11-F11</f>
        <v/>
      </c>
      <c r="H11" s="228">
        <f>IFERROR(E11/F11,0)</f>
        <v/>
      </c>
      <c r="I11" s="229">
        <f>IF(E11&gt;=F11,"🏆 FREE!","Working...")</f>
        <v/>
      </c>
    </row>
    <row r="12" ht="18" customHeight="1" s="115">
      <c r="A12" s="222" t="inlineStr">
        <is>
          <t>4</t>
        </is>
      </c>
      <c r="B12" s="222">
        <f>Profile!C4+4</f>
        <v/>
      </c>
      <c r="C12" s="223">
        <f>Investments!B36*12</f>
        <v/>
      </c>
      <c r="D12" s="223">
        <f>D11*(1+IFERROR(Investments!E18,0.1))+C12</f>
        <v/>
      </c>
      <c r="E12" s="223">
        <f>D12</f>
        <v/>
      </c>
      <c r="F12" s="223">
        <f>Profile!C30</f>
        <v/>
      </c>
      <c r="G12" s="223">
        <f>E12-F12</f>
        <v/>
      </c>
      <c r="H12" s="224">
        <f>IFERROR(E12/F12,0)</f>
        <v/>
      </c>
      <c r="I12" s="230">
        <f>IF(E12&gt;=F12,"🏆 FREE!","Working...")</f>
        <v/>
      </c>
    </row>
    <row r="13" ht="18" customHeight="1" s="115">
      <c r="A13" s="226" t="inlineStr">
        <is>
          <t>5</t>
        </is>
      </c>
      <c r="B13" s="226">
        <f>Profile!C4+5</f>
        <v/>
      </c>
      <c r="C13" s="227">
        <f>Investments!B36*12</f>
        <v/>
      </c>
      <c r="D13" s="227">
        <f>D12*(1+IFERROR(Investments!E18,0.1))+C13</f>
        <v/>
      </c>
      <c r="E13" s="227">
        <f>D13</f>
        <v/>
      </c>
      <c r="F13" s="227">
        <f>Profile!C30</f>
        <v/>
      </c>
      <c r="G13" s="227">
        <f>E13-F13</f>
        <v/>
      </c>
      <c r="H13" s="228">
        <f>IFERROR(E13/F13,0)</f>
        <v/>
      </c>
      <c r="I13" s="229">
        <f>IF(E13&gt;=F13,"🏆 FREE!","Working...")</f>
        <v/>
      </c>
    </row>
    <row r="14" ht="18" customHeight="1" s="115">
      <c r="A14" s="222" t="inlineStr">
        <is>
          <t>6</t>
        </is>
      </c>
      <c r="B14" s="222">
        <f>Profile!C4+6</f>
        <v/>
      </c>
      <c r="C14" s="223">
        <f>Investments!B36*12</f>
        <v/>
      </c>
      <c r="D14" s="223">
        <f>D13*(1+IFERROR(Investments!E18,0.1))+C14</f>
        <v/>
      </c>
      <c r="E14" s="223">
        <f>D14</f>
        <v/>
      </c>
      <c r="F14" s="223">
        <f>Profile!C30</f>
        <v/>
      </c>
      <c r="G14" s="223">
        <f>E14-F14</f>
        <v/>
      </c>
      <c r="H14" s="224">
        <f>IFERROR(E14/F14,0)</f>
        <v/>
      </c>
      <c r="I14" s="230">
        <f>IF(E14&gt;=F14,"🏆 FREE!","Working...")</f>
        <v/>
      </c>
    </row>
    <row r="15" ht="18" customHeight="1" s="115">
      <c r="A15" s="226" t="inlineStr">
        <is>
          <t>7</t>
        </is>
      </c>
      <c r="B15" s="226">
        <f>Profile!C4+7</f>
        <v/>
      </c>
      <c r="C15" s="227">
        <f>Investments!B36*12</f>
        <v/>
      </c>
      <c r="D15" s="227">
        <f>D14*(1+IFERROR(Investments!E18,0.1))+C15</f>
        <v/>
      </c>
      <c r="E15" s="227">
        <f>D15</f>
        <v/>
      </c>
      <c r="F15" s="227">
        <f>Profile!C30</f>
        <v/>
      </c>
      <c r="G15" s="227">
        <f>E15-F15</f>
        <v/>
      </c>
      <c r="H15" s="228">
        <f>IFERROR(E15/F15,0)</f>
        <v/>
      </c>
      <c r="I15" s="229">
        <f>IF(E15&gt;=F15,"🏆 FREE!","Working...")</f>
        <v/>
      </c>
    </row>
    <row r="16" ht="18" customHeight="1" s="115">
      <c r="A16" s="222" t="inlineStr">
        <is>
          <t>8</t>
        </is>
      </c>
      <c r="B16" s="222">
        <f>Profile!C4+8</f>
        <v/>
      </c>
      <c r="C16" s="223">
        <f>Investments!B36*12</f>
        <v/>
      </c>
      <c r="D16" s="223">
        <f>D15*(1+IFERROR(Investments!E18,0.1))+C16</f>
        <v/>
      </c>
      <c r="E16" s="223">
        <f>D16</f>
        <v/>
      </c>
      <c r="F16" s="223">
        <f>Profile!C30</f>
        <v/>
      </c>
      <c r="G16" s="223">
        <f>E16-F16</f>
        <v/>
      </c>
      <c r="H16" s="224">
        <f>IFERROR(E16/F16,0)</f>
        <v/>
      </c>
      <c r="I16" s="230">
        <f>IF(E16&gt;=F16,"🏆 FREE!","Working...")</f>
        <v/>
      </c>
    </row>
    <row r="17" ht="18" customHeight="1" s="115">
      <c r="A17" s="226" t="inlineStr">
        <is>
          <t>9</t>
        </is>
      </c>
      <c r="B17" s="226">
        <f>Profile!C4+9</f>
        <v/>
      </c>
      <c r="C17" s="227">
        <f>Investments!B36*12</f>
        <v/>
      </c>
      <c r="D17" s="227">
        <f>D16*(1+IFERROR(Investments!E18,0.1))+C17</f>
        <v/>
      </c>
      <c r="E17" s="227">
        <f>D17</f>
        <v/>
      </c>
      <c r="F17" s="227">
        <f>Profile!C30</f>
        <v/>
      </c>
      <c r="G17" s="227">
        <f>E17-F17</f>
        <v/>
      </c>
      <c r="H17" s="228">
        <f>IFERROR(E17/F17,0)</f>
        <v/>
      </c>
      <c r="I17" s="229">
        <f>IF(E17&gt;=F17,"🏆 FREE!","Working...")</f>
        <v/>
      </c>
    </row>
    <row r="18" ht="18" customHeight="1" s="115">
      <c r="A18" s="222" t="inlineStr">
        <is>
          <t>10</t>
        </is>
      </c>
      <c r="B18" s="222">
        <f>Profile!C4+10</f>
        <v/>
      </c>
      <c r="C18" s="223">
        <f>Investments!B36*12</f>
        <v/>
      </c>
      <c r="D18" s="223">
        <f>D17*(1+IFERROR(Investments!E18,0.1))+C18</f>
        <v/>
      </c>
      <c r="E18" s="223">
        <f>D18</f>
        <v/>
      </c>
      <c r="F18" s="223">
        <f>Profile!C30</f>
        <v/>
      </c>
      <c r="G18" s="223">
        <f>E18-F18</f>
        <v/>
      </c>
      <c r="H18" s="224">
        <f>IFERROR(E18/F18,0)</f>
        <v/>
      </c>
      <c r="I18" s="230">
        <f>IF(E18&gt;=F18,"🏆 FREE!","Working...")</f>
        <v/>
      </c>
    </row>
    <row r="19" ht="18" customHeight="1" s="115">
      <c r="A19" s="226" t="inlineStr">
        <is>
          <t>11</t>
        </is>
      </c>
      <c r="B19" s="226">
        <f>Profile!C4+11</f>
        <v/>
      </c>
      <c r="C19" s="227">
        <f>Investments!B36*12</f>
        <v/>
      </c>
      <c r="D19" s="227">
        <f>D18*(1+IFERROR(Investments!E18,0.1))+C19</f>
        <v/>
      </c>
      <c r="E19" s="227">
        <f>D19</f>
        <v/>
      </c>
      <c r="F19" s="227">
        <f>Profile!C30</f>
        <v/>
      </c>
      <c r="G19" s="227">
        <f>E19-F19</f>
        <v/>
      </c>
      <c r="H19" s="228">
        <f>IFERROR(E19/F19,0)</f>
        <v/>
      </c>
      <c r="I19" s="229">
        <f>IF(E19&gt;=F19,"🏆 FREE!","Working...")</f>
        <v/>
      </c>
    </row>
    <row r="20" ht="18" customHeight="1" s="115">
      <c r="A20" s="222" t="inlineStr">
        <is>
          <t>12</t>
        </is>
      </c>
      <c r="B20" s="222">
        <f>Profile!C4+12</f>
        <v/>
      </c>
      <c r="C20" s="223">
        <f>Investments!B36*12</f>
        <v/>
      </c>
      <c r="D20" s="223">
        <f>D19*(1+IFERROR(Investments!E18,0.1))+C20</f>
        <v/>
      </c>
      <c r="E20" s="223">
        <f>D20</f>
        <v/>
      </c>
      <c r="F20" s="223">
        <f>Profile!C30</f>
        <v/>
      </c>
      <c r="G20" s="223">
        <f>E20-F20</f>
        <v/>
      </c>
      <c r="H20" s="224">
        <f>IFERROR(E20/F20,0)</f>
        <v/>
      </c>
      <c r="I20" s="230">
        <f>IF(E20&gt;=F20,"🏆 FREE!","Working...")</f>
        <v/>
      </c>
    </row>
    <row r="21" ht="18" customHeight="1" s="115">
      <c r="A21" s="226" t="inlineStr">
        <is>
          <t>13</t>
        </is>
      </c>
      <c r="B21" s="226">
        <f>Profile!C4+13</f>
        <v/>
      </c>
      <c r="C21" s="227">
        <f>Investments!B36*12</f>
        <v/>
      </c>
      <c r="D21" s="227">
        <f>D20*(1+IFERROR(Investments!E18,0.1))+C21</f>
        <v/>
      </c>
      <c r="E21" s="227">
        <f>D21</f>
        <v/>
      </c>
      <c r="F21" s="227">
        <f>Profile!C30</f>
        <v/>
      </c>
      <c r="G21" s="227">
        <f>E21-F21</f>
        <v/>
      </c>
      <c r="H21" s="228">
        <f>IFERROR(E21/F21,0)</f>
        <v/>
      </c>
      <c r="I21" s="229">
        <f>IF(E21&gt;=F21,"🏆 FREE!","Working...")</f>
        <v/>
      </c>
    </row>
    <row r="22" ht="18" customHeight="1" s="115">
      <c r="A22" s="222" t="inlineStr">
        <is>
          <t>14</t>
        </is>
      </c>
      <c r="B22" s="222">
        <f>Profile!C4+14</f>
        <v/>
      </c>
      <c r="C22" s="223">
        <f>Investments!B36*12</f>
        <v/>
      </c>
      <c r="D22" s="223">
        <f>D21*(1+IFERROR(Investments!E18,0.1))+C22</f>
        <v/>
      </c>
      <c r="E22" s="223">
        <f>D22</f>
        <v/>
      </c>
      <c r="F22" s="223">
        <f>Profile!C30</f>
        <v/>
      </c>
      <c r="G22" s="223">
        <f>E22-F22</f>
        <v/>
      </c>
      <c r="H22" s="224">
        <f>IFERROR(E22/F22,0)</f>
        <v/>
      </c>
      <c r="I22" s="230">
        <f>IF(E22&gt;=F22,"🏆 FREE!","Working...")</f>
        <v/>
      </c>
    </row>
    <row r="23" ht="18" customHeight="1" s="115">
      <c r="A23" s="226" t="inlineStr">
        <is>
          <t>15</t>
        </is>
      </c>
      <c r="B23" s="226">
        <f>Profile!C4+15</f>
        <v/>
      </c>
      <c r="C23" s="227">
        <f>Investments!B36*12</f>
        <v/>
      </c>
      <c r="D23" s="227">
        <f>D22*(1+IFERROR(Investments!E18,0.1))+C23</f>
        <v/>
      </c>
      <c r="E23" s="227">
        <f>D23</f>
        <v/>
      </c>
      <c r="F23" s="227">
        <f>Profile!C30</f>
        <v/>
      </c>
      <c r="G23" s="227">
        <f>E23-F23</f>
        <v/>
      </c>
      <c r="H23" s="228">
        <f>IFERROR(E23/F23,0)</f>
        <v/>
      </c>
      <c r="I23" s="229">
        <f>IF(E23&gt;=F23,"🏆 FREE!","Working...")</f>
        <v/>
      </c>
    </row>
    <row r="24" ht="18" customHeight="1" s="115">
      <c r="A24" s="222" t="inlineStr">
        <is>
          <t>16</t>
        </is>
      </c>
      <c r="B24" s="222">
        <f>Profile!C4+16</f>
        <v/>
      </c>
      <c r="C24" s="223">
        <f>Investments!B36*12</f>
        <v/>
      </c>
      <c r="D24" s="223">
        <f>D23*(1+IFERROR(Investments!E18,0.1))+C24</f>
        <v/>
      </c>
      <c r="E24" s="223">
        <f>D24</f>
        <v/>
      </c>
      <c r="F24" s="223">
        <f>Profile!C30</f>
        <v/>
      </c>
      <c r="G24" s="223">
        <f>E24-F24</f>
        <v/>
      </c>
      <c r="H24" s="224">
        <f>IFERROR(E24/F24,0)</f>
        <v/>
      </c>
      <c r="I24" s="230">
        <f>IF(E24&gt;=F24,"🏆 FREE!","Working...")</f>
        <v/>
      </c>
    </row>
    <row r="25" ht="18" customHeight="1" s="115">
      <c r="A25" s="226" t="inlineStr">
        <is>
          <t>17</t>
        </is>
      </c>
      <c r="B25" s="226">
        <f>Profile!C4+17</f>
        <v/>
      </c>
      <c r="C25" s="227">
        <f>Investments!B36*12</f>
        <v/>
      </c>
      <c r="D25" s="227">
        <f>D24*(1+IFERROR(Investments!E18,0.1))+C25</f>
        <v/>
      </c>
      <c r="E25" s="227">
        <f>D25</f>
        <v/>
      </c>
      <c r="F25" s="227">
        <f>Profile!C30</f>
        <v/>
      </c>
      <c r="G25" s="227">
        <f>E25-F25</f>
        <v/>
      </c>
      <c r="H25" s="228">
        <f>IFERROR(E25/F25,0)</f>
        <v/>
      </c>
      <c r="I25" s="229">
        <f>IF(E25&gt;=F25,"🏆 FREE!","Working...")</f>
        <v/>
      </c>
    </row>
    <row r="26" ht="18" customHeight="1" s="115">
      <c r="A26" s="222" t="inlineStr">
        <is>
          <t>18</t>
        </is>
      </c>
      <c r="B26" s="222">
        <f>Profile!C4+18</f>
        <v/>
      </c>
      <c r="C26" s="223">
        <f>Investments!B36*12</f>
        <v/>
      </c>
      <c r="D26" s="223">
        <f>D25*(1+IFERROR(Investments!E18,0.1))+C26</f>
        <v/>
      </c>
      <c r="E26" s="223">
        <f>D26</f>
        <v/>
      </c>
      <c r="F26" s="223">
        <f>Profile!C30</f>
        <v/>
      </c>
      <c r="G26" s="223">
        <f>E26-F26</f>
        <v/>
      </c>
      <c r="H26" s="224">
        <f>IFERROR(E26/F26,0)</f>
        <v/>
      </c>
      <c r="I26" s="230">
        <f>IF(E26&gt;=F26,"🏆 FREE!","Working...")</f>
        <v/>
      </c>
    </row>
    <row r="27" ht="18" customHeight="1" s="115">
      <c r="A27" s="226" t="inlineStr">
        <is>
          <t>19</t>
        </is>
      </c>
      <c r="B27" s="226">
        <f>Profile!C4+19</f>
        <v/>
      </c>
      <c r="C27" s="227">
        <f>Investments!B36*12</f>
        <v/>
      </c>
      <c r="D27" s="227">
        <f>D26*(1+IFERROR(Investments!E18,0.1))+C27</f>
        <v/>
      </c>
      <c r="E27" s="227">
        <f>D27</f>
        <v/>
      </c>
      <c r="F27" s="227">
        <f>Profile!C30</f>
        <v/>
      </c>
      <c r="G27" s="227">
        <f>E27-F27</f>
        <v/>
      </c>
      <c r="H27" s="228">
        <f>IFERROR(E27/F27,0)</f>
        <v/>
      </c>
      <c r="I27" s="229">
        <f>IF(E27&gt;=F27,"🏆 FREE!","Working...")</f>
        <v/>
      </c>
    </row>
    <row r="28" ht="18" customHeight="1" s="115">
      <c r="A28" s="222" t="inlineStr">
        <is>
          <t>20</t>
        </is>
      </c>
      <c r="B28" s="222">
        <f>Profile!C4+20</f>
        <v/>
      </c>
      <c r="C28" s="223">
        <f>Investments!B36*12</f>
        <v/>
      </c>
      <c r="D28" s="223">
        <f>D27*(1+IFERROR(Investments!E18,0.1))+C28</f>
        <v/>
      </c>
      <c r="E28" s="223">
        <f>D28</f>
        <v/>
      </c>
      <c r="F28" s="223">
        <f>Profile!C30</f>
        <v/>
      </c>
      <c r="G28" s="223">
        <f>E28-F28</f>
        <v/>
      </c>
      <c r="H28" s="224">
        <f>IFERROR(E28/F28,0)</f>
        <v/>
      </c>
      <c r="I28" s="230">
        <f>IF(E28&gt;=F28,"🏆 FREE!","Working...")</f>
        <v/>
      </c>
    </row>
    <row r="29" ht="18" customHeight="1" s="115">
      <c r="A29" s="226" t="inlineStr">
        <is>
          <t>21</t>
        </is>
      </c>
      <c r="B29" s="226">
        <f>Profile!C4+21</f>
        <v/>
      </c>
      <c r="C29" s="227">
        <f>Investments!B36*12</f>
        <v/>
      </c>
      <c r="D29" s="227">
        <f>D28*(1+IFERROR(Investments!E18,0.1))+C29</f>
        <v/>
      </c>
      <c r="E29" s="227">
        <f>D29</f>
        <v/>
      </c>
      <c r="F29" s="227">
        <f>Profile!C30</f>
        <v/>
      </c>
      <c r="G29" s="227">
        <f>E29-F29</f>
        <v/>
      </c>
      <c r="H29" s="228">
        <f>IFERROR(E29/F29,0)</f>
        <v/>
      </c>
      <c r="I29" s="229">
        <f>IF(E29&gt;=F29,"🏆 FREE!","Working...")</f>
        <v/>
      </c>
    </row>
    <row r="30" ht="18" customHeight="1" s="115">
      <c r="A30" s="222" t="inlineStr">
        <is>
          <t>22</t>
        </is>
      </c>
      <c r="B30" s="222">
        <f>Profile!C4+22</f>
        <v/>
      </c>
      <c r="C30" s="223">
        <f>Investments!B36*12</f>
        <v/>
      </c>
      <c r="D30" s="223">
        <f>D29*(1+IFERROR(Investments!E18,0.1))+C30</f>
        <v/>
      </c>
      <c r="E30" s="223">
        <f>D30</f>
        <v/>
      </c>
      <c r="F30" s="223">
        <f>Profile!C30</f>
        <v/>
      </c>
      <c r="G30" s="223">
        <f>E30-F30</f>
        <v/>
      </c>
      <c r="H30" s="224">
        <f>IFERROR(E30/F30,0)</f>
        <v/>
      </c>
      <c r="I30" s="230">
        <f>IF(E30&gt;=F30,"🏆 FREE!","Working...")</f>
        <v/>
      </c>
    </row>
    <row r="31" ht="18" customHeight="1" s="115">
      <c r="A31" s="226" t="inlineStr">
        <is>
          <t>23</t>
        </is>
      </c>
      <c r="B31" s="226">
        <f>Profile!C4+23</f>
        <v/>
      </c>
      <c r="C31" s="227">
        <f>Investments!B36*12</f>
        <v/>
      </c>
      <c r="D31" s="227">
        <f>D30*(1+IFERROR(Investments!E18,0.1))+C31</f>
        <v/>
      </c>
      <c r="E31" s="227">
        <f>D31</f>
        <v/>
      </c>
      <c r="F31" s="227">
        <f>Profile!C30</f>
        <v/>
      </c>
      <c r="G31" s="227">
        <f>E31-F31</f>
        <v/>
      </c>
      <c r="H31" s="228">
        <f>IFERROR(E31/F31,0)</f>
        <v/>
      </c>
      <c r="I31" s="229">
        <f>IF(E31&gt;=F31,"🏆 FREE!","Working...")</f>
        <v/>
      </c>
    </row>
    <row r="32" ht="18" customHeight="1" s="115">
      <c r="A32" s="222" t="inlineStr">
        <is>
          <t>24</t>
        </is>
      </c>
      <c r="B32" s="222">
        <f>Profile!C4+24</f>
        <v/>
      </c>
      <c r="C32" s="223">
        <f>Investments!B36*12</f>
        <v/>
      </c>
      <c r="D32" s="223">
        <f>D31*(1+IFERROR(Investments!E18,0.1))+C32</f>
        <v/>
      </c>
      <c r="E32" s="223">
        <f>D32</f>
        <v/>
      </c>
      <c r="F32" s="223">
        <f>Profile!C30</f>
        <v/>
      </c>
      <c r="G32" s="223">
        <f>E32-F32</f>
        <v/>
      </c>
      <c r="H32" s="224">
        <f>IFERROR(E32/F32,0)</f>
        <v/>
      </c>
      <c r="I32" s="230">
        <f>IF(E32&gt;=F32,"🏆 FREE!","Working...")</f>
        <v/>
      </c>
    </row>
    <row r="33" ht="18" customHeight="1" s="115">
      <c r="A33" s="226" t="inlineStr">
        <is>
          <t>25</t>
        </is>
      </c>
      <c r="B33" s="226">
        <f>Profile!C4+25</f>
        <v/>
      </c>
      <c r="C33" s="227">
        <f>Investments!B36*12</f>
        <v/>
      </c>
      <c r="D33" s="227">
        <f>D32*(1+IFERROR(Investments!E18,0.1))+C33</f>
        <v/>
      </c>
      <c r="E33" s="227">
        <f>D33</f>
        <v/>
      </c>
      <c r="F33" s="227">
        <f>Profile!C30</f>
        <v/>
      </c>
      <c r="G33" s="227">
        <f>E33-F33</f>
        <v/>
      </c>
      <c r="H33" s="228">
        <f>IFERROR(E33/F33,0)</f>
        <v/>
      </c>
      <c r="I33" s="229">
        <f>IF(E33&gt;=F33,"🏆 FREE!","Working...")</f>
        <v/>
      </c>
    </row>
    <row r="34" ht="18" customHeight="1" s="115">
      <c r="A34" s="222" t="inlineStr">
        <is>
          <t>26</t>
        </is>
      </c>
      <c r="B34" s="222">
        <f>Profile!C4+26</f>
        <v/>
      </c>
      <c r="C34" s="223">
        <f>Investments!B36*12</f>
        <v/>
      </c>
      <c r="D34" s="223">
        <f>D33*(1+IFERROR(Investments!E18,0.1))+C34</f>
        <v/>
      </c>
      <c r="E34" s="223">
        <f>D34</f>
        <v/>
      </c>
      <c r="F34" s="223">
        <f>Profile!C30</f>
        <v/>
      </c>
      <c r="G34" s="223">
        <f>E34-F34</f>
        <v/>
      </c>
      <c r="H34" s="224">
        <f>IFERROR(E34/F34,0)</f>
        <v/>
      </c>
      <c r="I34" s="230">
        <f>IF(E34&gt;=F34,"🏆 FREE!","Working...")</f>
        <v/>
      </c>
    </row>
    <row r="35" ht="18" customHeight="1" s="115">
      <c r="A35" s="226" t="inlineStr">
        <is>
          <t>27</t>
        </is>
      </c>
      <c r="B35" s="226">
        <f>Profile!C4+27</f>
        <v/>
      </c>
      <c r="C35" s="227">
        <f>Investments!B36*12</f>
        <v/>
      </c>
      <c r="D35" s="227">
        <f>D34*(1+IFERROR(Investments!E18,0.1))+C35</f>
        <v/>
      </c>
      <c r="E35" s="227">
        <f>D35</f>
        <v/>
      </c>
      <c r="F35" s="227">
        <f>Profile!C30</f>
        <v/>
      </c>
      <c r="G35" s="227">
        <f>E35-F35</f>
        <v/>
      </c>
      <c r="H35" s="228">
        <f>IFERROR(E35/F35,0)</f>
        <v/>
      </c>
      <c r="I35" s="229">
        <f>IF(E35&gt;=F35,"🏆 FREE!","Working...")</f>
        <v/>
      </c>
    </row>
    <row r="36" ht="18" customHeight="1" s="115">
      <c r="A36" s="222" t="inlineStr">
        <is>
          <t>28</t>
        </is>
      </c>
      <c r="B36" s="222">
        <f>Profile!C4+28</f>
        <v/>
      </c>
      <c r="C36" s="223">
        <f>Investments!B36*12</f>
        <v/>
      </c>
      <c r="D36" s="223">
        <f>D35*(1+IFERROR(Investments!E18,0.1))+C36</f>
        <v/>
      </c>
      <c r="E36" s="223">
        <f>D36</f>
        <v/>
      </c>
      <c r="F36" s="223">
        <f>Profile!C30</f>
        <v/>
      </c>
      <c r="G36" s="223">
        <f>E36-F36</f>
        <v/>
      </c>
      <c r="H36" s="224">
        <f>IFERROR(E36/F36,0)</f>
        <v/>
      </c>
      <c r="I36" s="230">
        <f>IF(E36&gt;=F36,"🏆 FREE!","Working...")</f>
        <v/>
      </c>
    </row>
    <row r="37" ht="18" customHeight="1" s="115">
      <c r="A37" s="226" t="inlineStr">
        <is>
          <t>29</t>
        </is>
      </c>
      <c r="B37" s="226">
        <f>Profile!C4+29</f>
        <v/>
      </c>
      <c r="C37" s="227">
        <f>Investments!B36*12</f>
        <v/>
      </c>
      <c r="D37" s="227">
        <f>D36*(1+IFERROR(Investments!E18,0.1))+C37</f>
        <v/>
      </c>
      <c r="E37" s="227">
        <f>D37</f>
        <v/>
      </c>
      <c r="F37" s="227">
        <f>Profile!C30</f>
        <v/>
      </c>
      <c r="G37" s="227">
        <f>E37-F37</f>
        <v/>
      </c>
      <c r="H37" s="228">
        <f>IFERROR(E37/F37,0)</f>
        <v/>
      </c>
      <c r="I37" s="229">
        <f>IF(E37&gt;=F37,"🏆 FREE!","Working...")</f>
        <v/>
      </c>
    </row>
    <row r="38" ht="18" customHeight="1" s="115">
      <c r="A38" s="222" t="inlineStr">
        <is>
          <t>30</t>
        </is>
      </c>
      <c r="B38" s="222">
        <f>Profile!C4+30</f>
        <v/>
      </c>
      <c r="C38" s="223">
        <f>Investments!B36*12</f>
        <v/>
      </c>
      <c r="D38" s="223">
        <f>D37*(1+IFERROR(Investments!E18,0.1))+C38</f>
        <v/>
      </c>
      <c r="E38" s="223">
        <f>D38</f>
        <v/>
      </c>
      <c r="F38" s="223">
        <f>Profile!C30</f>
        <v/>
      </c>
      <c r="G38" s="223">
        <f>E38-F38</f>
        <v/>
      </c>
      <c r="H38" s="224">
        <f>IFERROR(E38/F38,0)</f>
        <v/>
      </c>
      <c r="I38" s="230">
        <f>IF(E38&gt;=F38,"🏆 FREE!","Working...")</f>
        <v/>
      </c>
    </row>
    <row r="39" ht="18" customHeight="1" s="115">
      <c r="A39" s="226" t="inlineStr">
        <is>
          <t>31</t>
        </is>
      </c>
      <c r="B39" s="226">
        <f>Profile!C4+31</f>
        <v/>
      </c>
      <c r="C39" s="227">
        <f>Investments!B36*12</f>
        <v/>
      </c>
      <c r="D39" s="227">
        <f>D38*(1+IFERROR(Investments!E18,0.1))+C39</f>
        <v/>
      </c>
      <c r="E39" s="227">
        <f>D39</f>
        <v/>
      </c>
      <c r="F39" s="227">
        <f>Profile!C30</f>
        <v/>
      </c>
      <c r="G39" s="227">
        <f>E39-F39</f>
        <v/>
      </c>
      <c r="H39" s="228">
        <f>IFERROR(E39/F39,0)</f>
        <v/>
      </c>
      <c r="I39" s="229">
        <f>IF(E39&gt;=F39,"🏆 FREE!","Working...")</f>
        <v/>
      </c>
    </row>
    <row r="40" ht="18" customHeight="1" s="115">
      <c r="A40" s="222" t="inlineStr">
        <is>
          <t>32</t>
        </is>
      </c>
      <c r="B40" s="222">
        <f>Profile!C4+32</f>
        <v/>
      </c>
      <c r="C40" s="223">
        <f>Investments!B36*12</f>
        <v/>
      </c>
      <c r="D40" s="223">
        <f>D39*(1+IFERROR(Investments!E18,0.1))+C40</f>
        <v/>
      </c>
      <c r="E40" s="223">
        <f>D40</f>
        <v/>
      </c>
      <c r="F40" s="223">
        <f>Profile!C30</f>
        <v/>
      </c>
      <c r="G40" s="223">
        <f>E40-F40</f>
        <v/>
      </c>
      <c r="H40" s="224">
        <f>IFERROR(E40/F40,0)</f>
        <v/>
      </c>
      <c r="I40" s="230">
        <f>IF(E40&gt;=F40,"🏆 FREE!","Working...")</f>
        <v/>
      </c>
    </row>
    <row r="41" ht="18" customHeight="1" s="115">
      <c r="A41" s="226" t="inlineStr">
        <is>
          <t>33</t>
        </is>
      </c>
      <c r="B41" s="226">
        <f>Profile!C4+33</f>
        <v/>
      </c>
      <c r="C41" s="227">
        <f>Investments!B36*12</f>
        <v/>
      </c>
      <c r="D41" s="227">
        <f>D40*(1+IFERROR(Investments!E18,0.1))+C41</f>
        <v/>
      </c>
      <c r="E41" s="227">
        <f>D41</f>
        <v/>
      </c>
      <c r="F41" s="227">
        <f>Profile!C30</f>
        <v/>
      </c>
      <c r="G41" s="227">
        <f>E41-F41</f>
        <v/>
      </c>
      <c r="H41" s="228">
        <f>IFERROR(E41/F41,0)</f>
        <v/>
      </c>
      <c r="I41" s="229">
        <f>IF(E41&gt;=F41,"🏆 FREE!","Working...")</f>
        <v/>
      </c>
    </row>
    <row r="42" ht="18" customHeight="1" s="115">
      <c r="A42" s="222" t="inlineStr">
        <is>
          <t>34</t>
        </is>
      </c>
      <c r="B42" s="222">
        <f>Profile!C4+34</f>
        <v/>
      </c>
      <c r="C42" s="223">
        <f>Investments!B36*12</f>
        <v/>
      </c>
      <c r="D42" s="223">
        <f>D41*(1+IFERROR(Investments!E18,0.1))+C42</f>
        <v/>
      </c>
      <c r="E42" s="223">
        <f>D42</f>
        <v/>
      </c>
      <c r="F42" s="223">
        <f>Profile!C30</f>
        <v/>
      </c>
      <c r="G42" s="223">
        <f>E42-F42</f>
        <v/>
      </c>
      <c r="H42" s="224">
        <f>IFERROR(E42/F42,0)</f>
        <v/>
      </c>
      <c r="I42" s="230">
        <f>IF(E42&gt;=F42,"🏆 FREE!","Working...")</f>
        <v/>
      </c>
    </row>
    <row r="43" ht="18" customHeight="1" s="115">
      <c r="A43" s="226" t="inlineStr">
        <is>
          <t>35</t>
        </is>
      </c>
      <c r="B43" s="226">
        <f>Profile!C4+35</f>
        <v/>
      </c>
      <c r="C43" s="227">
        <f>Investments!B36*12</f>
        <v/>
      </c>
      <c r="D43" s="227">
        <f>D42*(1+IFERROR(Investments!E18,0.1))+C43</f>
        <v/>
      </c>
      <c r="E43" s="227">
        <f>D43</f>
        <v/>
      </c>
      <c r="F43" s="227">
        <f>Profile!C30</f>
        <v/>
      </c>
      <c r="G43" s="227">
        <f>E43-F43</f>
        <v/>
      </c>
      <c r="H43" s="228">
        <f>IFERROR(E43/F43,0)</f>
        <v/>
      </c>
      <c r="I43" s="229">
        <f>IF(E43&gt;=F43,"🏆 FREE!","Working...")</f>
        <v/>
      </c>
    </row>
    <row r="44" ht="18" customHeight="1" s="115">
      <c r="A44" s="222" t="inlineStr">
        <is>
          <t>36</t>
        </is>
      </c>
      <c r="B44" s="222">
        <f>Profile!C4+36</f>
        <v/>
      </c>
      <c r="C44" s="223">
        <f>Investments!B36*12</f>
        <v/>
      </c>
      <c r="D44" s="223">
        <f>D43*(1+IFERROR(Investments!E18,0.1))+C44</f>
        <v/>
      </c>
      <c r="E44" s="223">
        <f>D44</f>
        <v/>
      </c>
      <c r="F44" s="223">
        <f>Profile!C30</f>
        <v/>
      </c>
      <c r="G44" s="223">
        <f>E44-F44</f>
        <v/>
      </c>
      <c r="H44" s="224">
        <f>IFERROR(E44/F44,0)</f>
        <v/>
      </c>
      <c r="I44" s="230">
        <f>IF(E44&gt;=F44,"🏆 FREE!","Working...")</f>
        <v/>
      </c>
    </row>
    <row r="45" ht="18" customHeight="1" s="115">
      <c r="A45" s="226" t="inlineStr">
        <is>
          <t>37</t>
        </is>
      </c>
      <c r="B45" s="226">
        <f>Profile!C4+37</f>
        <v/>
      </c>
      <c r="C45" s="227">
        <f>Investments!B36*12</f>
        <v/>
      </c>
      <c r="D45" s="227">
        <f>D44*(1+IFERROR(Investments!E18,0.1))+C45</f>
        <v/>
      </c>
      <c r="E45" s="227">
        <f>D45</f>
        <v/>
      </c>
      <c r="F45" s="227">
        <f>Profile!C30</f>
        <v/>
      </c>
      <c r="G45" s="227">
        <f>E45-F45</f>
        <v/>
      </c>
      <c r="H45" s="228">
        <f>IFERROR(E45/F45,0)</f>
        <v/>
      </c>
      <c r="I45" s="229">
        <f>IF(E45&gt;=F45,"🏆 FREE!","Working...")</f>
        <v/>
      </c>
    </row>
    <row r="46" ht="18" customHeight="1" s="115">
      <c r="A46" s="222" t="inlineStr">
        <is>
          <t>38</t>
        </is>
      </c>
      <c r="B46" s="222">
        <f>Profile!C4+38</f>
        <v/>
      </c>
      <c r="C46" s="223">
        <f>Investments!B36*12</f>
        <v/>
      </c>
      <c r="D46" s="223">
        <f>D45*(1+IFERROR(Investments!E18,0.1))+C46</f>
        <v/>
      </c>
      <c r="E46" s="223">
        <f>D46</f>
        <v/>
      </c>
      <c r="F46" s="223">
        <f>Profile!C30</f>
        <v/>
      </c>
      <c r="G46" s="223">
        <f>E46-F46</f>
        <v/>
      </c>
      <c r="H46" s="224">
        <f>IFERROR(E46/F46,0)</f>
        <v/>
      </c>
      <c r="I46" s="230">
        <f>IF(E46&gt;=F46,"🏆 FREE!","Working...")</f>
        <v/>
      </c>
    </row>
    <row r="47" ht="18" customHeight="1" s="115">
      <c r="A47" s="226" t="inlineStr">
        <is>
          <t>39</t>
        </is>
      </c>
      <c r="B47" s="226">
        <f>Profile!C4+39</f>
        <v/>
      </c>
      <c r="C47" s="227">
        <f>Investments!B36*12</f>
        <v/>
      </c>
      <c r="D47" s="227">
        <f>D46*(1+IFERROR(Investments!E18,0.1))+C47</f>
        <v/>
      </c>
      <c r="E47" s="227">
        <f>D47</f>
        <v/>
      </c>
      <c r="F47" s="227">
        <f>Profile!C30</f>
        <v/>
      </c>
      <c r="G47" s="227">
        <f>E47-F47</f>
        <v/>
      </c>
      <c r="H47" s="228">
        <f>IFERROR(E47/F47,0)</f>
        <v/>
      </c>
      <c r="I47" s="229">
        <f>IF(E47&gt;=F47,"🏆 FREE!","Working...")</f>
        <v/>
      </c>
    </row>
    <row r="48" ht="18" customHeight="1" s="115">
      <c r="A48" s="222" t="inlineStr">
        <is>
          <t>40</t>
        </is>
      </c>
      <c r="B48" s="222">
        <f>Profile!C4+40</f>
        <v/>
      </c>
      <c r="C48" s="223">
        <f>Investments!B36*12</f>
        <v/>
      </c>
      <c r="D48" s="223">
        <f>D47*(1+IFERROR(Investments!E18,0.1))+C48</f>
        <v/>
      </c>
      <c r="E48" s="223">
        <f>D48</f>
        <v/>
      </c>
      <c r="F48" s="223">
        <f>Profile!C30</f>
        <v/>
      </c>
      <c r="G48" s="223">
        <f>E48-F48</f>
        <v/>
      </c>
      <c r="H48" s="224">
        <f>IFERROR(E48/F48,0)</f>
        <v/>
      </c>
      <c r="I48" s="230">
        <f>IF(E48&gt;=F48,"🏆 FREE!","Working...")</f>
        <v/>
      </c>
    </row>
    <row r="49" ht="18" customHeight="1" s="115">
      <c r="A49" s="226" t="inlineStr">
        <is>
          <t>41</t>
        </is>
      </c>
      <c r="B49" s="226">
        <f>Profile!C4+41</f>
        <v/>
      </c>
      <c r="C49" s="227">
        <f>Investments!B36*12</f>
        <v/>
      </c>
      <c r="D49" s="227">
        <f>D48*(1+IFERROR(Investments!E18,0.1))+C49</f>
        <v/>
      </c>
      <c r="E49" s="227">
        <f>D49</f>
        <v/>
      </c>
      <c r="F49" s="227">
        <f>Profile!C30</f>
        <v/>
      </c>
      <c r="G49" s="227">
        <f>E49-F49</f>
        <v/>
      </c>
      <c r="H49" s="228">
        <f>IFERROR(E49/F49,0)</f>
        <v/>
      </c>
      <c r="I49" s="229">
        <f>IF(E49&gt;=F49,"🏆 FREE!","Working...")</f>
        <v/>
      </c>
    </row>
    <row r="50" ht="18" customHeight="1" s="115">
      <c r="A50" s="222" t="inlineStr">
        <is>
          <t>42</t>
        </is>
      </c>
      <c r="B50" s="222">
        <f>Profile!C4+42</f>
        <v/>
      </c>
      <c r="C50" s="223">
        <f>Investments!B36*12</f>
        <v/>
      </c>
      <c r="D50" s="223">
        <f>D49*(1+IFERROR(Investments!E18,0.1))+C50</f>
        <v/>
      </c>
      <c r="E50" s="223">
        <f>D50</f>
        <v/>
      </c>
      <c r="F50" s="223">
        <f>Profile!C30</f>
        <v/>
      </c>
      <c r="G50" s="223">
        <f>E50-F50</f>
        <v/>
      </c>
      <c r="H50" s="224">
        <f>IFERROR(E50/F50,0)</f>
        <v/>
      </c>
      <c r="I50" s="230">
        <f>IF(E50&gt;=F50,"🏆 FREE!","Working...")</f>
        <v/>
      </c>
    </row>
    <row r="51" ht="18" customHeight="1" s="115">
      <c r="A51" s="226" t="inlineStr">
        <is>
          <t>43</t>
        </is>
      </c>
      <c r="B51" s="226">
        <f>Profile!C4+43</f>
        <v/>
      </c>
      <c r="C51" s="227">
        <f>Investments!B36*12</f>
        <v/>
      </c>
      <c r="D51" s="227">
        <f>D50*(1+IFERROR(Investments!E18,0.1))+C51</f>
        <v/>
      </c>
      <c r="E51" s="227">
        <f>D51</f>
        <v/>
      </c>
      <c r="F51" s="227">
        <f>Profile!C30</f>
        <v/>
      </c>
      <c r="G51" s="227">
        <f>E51-F51</f>
        <v/>
      </c>
      <c r="H51" s="228">
        <f>IFERROR(E51/F51,0)</f>
        <v/>
      </c>
      <c r="I51" s="229">
        <f>IF(E51&gt;=F51,"🏆 FREE!","Working...")</f>
        <v/>
      </c>
    </row>
    <row r="52" ht="18" customHeight="1" s="115">
      <c r="A52" s="222" t="inlineStr">
        <is>
          <t>44</t>
        </is>
      </c>
      <c r="B52" s="222">
        <f>Profile!C4+44</f>
        <v/>
      </c>
      <c r="C52" s="223">
        <f>Investments!B36*12</f>
        <v/>
      </c>
      <c r="D52" s="223">
        <f>D51*(1+IFERROR(Investments!E18,0.1))+C52</f>
        <v/>
      </c>
      <c r="E52" s="223">
        <f>D52</f>
        <v/>
      </c>
      <c r="F52" s="223">
        <f>Profile!C30</f>
        <v/>
      </c>
      <c r="G52" s="223">
        <f>E52-F52</f>
        <v/>
      </c>
      <c r="H52" s="224">
        <f>IFERROR(E52/F52,0)</f>
        <v/>
      </c>
      <c r="I52" s="230">
        <f>IF(E52&gt;=F52,"🏆 FREE!","Working...")</f>
        <v/>
      </c>
    </row>
    <row r="53" ht="18" customHeight="1" s="115">
      <c r="A53" s="226" t="inlineStr">
        <is>
          <t>45</t>
        </is>
      </c>
      <c r="B53" s="226">
        <f>Profile!C4+45</f>
        <v/>
      </c>
      <c r="C53" s="227">
        <f>Investments!B36*12</f>
        <v/>
      </c>
      <c r="D53" s="227">
        <f>D52*(1+IFERROR(Investments!E18,0.1))+C53</f>
        <v/>
      </c>
      <c r="E53" s="227">
        <f>D53</f>
        <v/>
      </c>
      <c r="F53" s="227">
        <f>Profile!C30</f>
        <v/>
      </c>
      <c r="G53" s="227">
        <f>E53-F53</f>
        <v/>
      </c>
      <c r="H53" s="228">
        <f>IFERROR(E53/F53,0)</f>
        <v/>
      </c>
      <c r="I53" s="229">
        <f>IF(E53&gt;=F53,"🏆 FREE!","Working...")</f>
        <v/>
      </c>
    </row>
    <row r="54" ht="18" customHeight="1" s="115">
      <c r="A54" s="222" t="inlineStr">
        <is>
          <t>46</t>
        </is>
      </c>
      <c r="B54" s="222">
        <f>Profile!C4+46</f>
        <v/>
      </c>
      <c r="C54" s="223">
        <f>Investments!B36*12</f>
        <v/>
      </c>
      <c r="D54" s="223">
        <f>D53*(1+IFERROR(Investments!E18,0.1))+C54</f>
        <v/>
      </c>
      <c r="E54" s="223">
        <f>D54</f>
        <v/>
      </c>
      <c r="F54" s="223">
        <f>Profile!C30</f>
        <v/>
      </c>
      <c r="G54" s="223">
        <f>E54-F54</f>
        <v/>
      </c>
      <c r="H54" s="224">
        <f>IFERROR(E54/F54,0)</f>
        <v/>
      </c>
      <c r="I54" s="230">
        <f>IF(E54&gt;=F54,"🏆 FREE!","Working...")</f>
        <v/>
      </c>
    </row>
    <row r="55" ht="18" customHeight="1" s="115">
      <c r="A55" s="226" t="inlineStr">
        <is>
          <t>47</t>
        </is>
      </c>
      <c r="B55" s="226">
        <f>Profile!C4+47</f>
        <v/>
      </c>
      <c r="C55" s="227">
        <f>Investments!B36*12</f>
        <v/>
      </c>
      <c r="D55" s="227">
        <f>D54*(1+IFERROR(Investments!E18,0.1))+C55</f>
        <v/>
      </c>
      <c r="E55" s="227">
        <f>D55</f>
        <v/>
      </c>
      <c r="F55" s="227">
        <f>Profile!C30</f>
        <v/>
      </c>
      <c r="G55" s="227">
        <f>E55-F55</f>
        <v/>
      </c>
      <c r="H55" s="228">
        <f>IFERROR(E55/F55,0)</f>
        <v/>
      </c>
      <c r="I55" s="229">
        <f>IF(E55&gt;=F55,"🏆 FREE!","Working...")</f>
        <v/>
      </c>
    </row>
    <row r="56" ht="18" customHeight="1" s="115">
      <c r="A56" s="222" t="inlineStr">
        <is>
          <t>48</t>
        </is>
      </c>
      <c r="B56" s="222">
        <f>Profile!C4+48</f>
        <v/>
      </c>
      <c r="C56" s="223">
        <f>Investments!B36*12</f>
        <v/>
      </c>
      <c r="D56" s="223">
        <f>D55*(1+IFERROR(Investments!E18,0.1))+C56</f>
        <v/>
      </c>
      <c r="E56" s="223">
        <f>D56</f>
        <v/>
      </c>
      <c r="F56" s="223">
        <f>Profile!C30</f>
        <v/>
      </c>
      <c r="G56" s="223">
        <f>E56-F56</f>
        <v/>
      </c>
      <c r="H56" s="224">
        <f>IFERROR(E56/F56,0)</f>
        <v/>
      </c>
      <c r="I56" s="230">
        <f>IF(E56&gt;=F56,"🏆 FREE!","Working...")</f>
        <v/>
      </c>
    </row>
    <row r="57" ht="18" customHeight="1" s="115">
      <c r="A57" s="226" t="inlineStr">
        <is>
          <t>49</t>
        </is>
      </c>
      <c r="B57" s="226">
        <f>Profile!C4+49</f>
        <v/>
      </c>
      <c r="C57" s="227">
        <f>Investments!B36*12</f>
        <v/>
      </c>
      <c r="D57" s="227">
        <f>D56*(1+IFERROR(Investments!E18,0.1))+C57</f>
        <v/>
      </c>
      <c r="E57" s="227">
        <f>D57</f>
        <v/>
      </c>
      <c r="F57" s="227">
        <f>Profile!C30</f>
        <v/>
      </c>
      <c r="G57" s="227">
        <f>E57-F57</f>
        <v/>
      </c>
      <c r="H57" s="228">
        <f>IFERROR(E57/F57,0)</f>
        <v/>
      </c>
      <c r="I57" s="229">
        <f>IF(E57&gt;=F57,"🏆 FREE!","Working...")</f>
        <v/>
      </c>
    </row>
    <row r="58" ht="18" customHeight="1" s="115">
      <c r="A58" s="222" t="inlineStr">
        <is>
          <t>50</t>
        </is>
      </c>
      <c r="B58" s="222">
        <f>Profile!C4+50</f>
        <v/>
      </c>
      <c r="C58" s="223">
        <f>Investments!B36*12</f>
        <v/>
      </c>
      <c r="D58" s="223">
        <f>D57*(1+IFERROR(Investments!E18,0.1))+C58</f>
        <v/>
      </c>
      <c r="E58" s="223">
        <f>D58</f>
        <v/>
      </c>
      <c r="F58" s="223">
        <f>Profile!C30</f>
        <v/>
      </c>
      <c r="G58" s="223">
        <f>E58-F58</f>
        <v/>
      </c>
      <c r="H58" s="224">
        <f>IFERROR(E58/F58,0)</f>
        <v/>
      </c>
      <c r="I58" s="230">
        <f>IF(E58&gt;=F58,"🏆 FREE!","Working...")</f>
        <v/>
      </c>
    </row>
    <row r="59" ht="18" customHeight="1" s="115">
      <c r="A59" s="226" t="inlineStr">
        <is>
          <t>51</t>
        </is>
      </c>
      <c r="B59" s="226">
        <f>Profile!C4+51</f>
        <v/>
      </c>
      <c r="C59" s="227">
        <f>Investments!B36*12</f>
        <v/>
      </c>
      <c r="D59" s="227">
        <f>D58*(1+IFERROR(Investments!E18,0.1))+C59</f>
        <v/>
      </c>
      <c r="E59" s="227">
        <f>D59</f>
        <v/>
      </c>
      <c r="F59" s="227">
        <f>Profile!C30</f>
        <v/>
      </c>
      <c r="G59" s="227">
        <f>E59-F59</f>
        <v/>
      </c>
      <c r="H59" s="228">
        <f>IFERROR(E59/F59,0)</f>
        <v/>
      </c>
      <c r="I59" s="229">
        <f>IF(E59&gt;=F59,"🏆 FREE!","Working...")</f>
        <v/>
      </c>
    </row>
    <row r="60" ht="18" customHeight="1" s="115">
      <c r="A60" s="222" t="inlineStr">
        <is>
          <t>52</t>
        </is>
      </c>
      <c r="B60" s="222">
        <f>Profile!C4+52</f>
        <v/>
      </c>
      <c r="C60" s="223">
        <f>Investments!B36*12</f>
        <v/>
      </c>
      <c r="D60" s="223">
        <f>D59*(1+IFERROR(Investments!E18,0.1))+C60</f>
        <v/>
      </c>
      <c r="E60" s="223">
        <f>D60</f>
        <v/>
      </c>
      <c r="F60" s="223">
        <f>Profile!C30</f>
        <v/>
      </c>
      <c r="G60" s="223">
        <f>E60-F60</f>
        <v/>
      </c>
      <c r="H60" s="224">
        <f>IFERROR(E60/F60,0)</f>
        <v/>
      </c>
      <c r="I60" s="230">
        <f>IF(E60&gt;=F60,"🏆 FREE!","Working...")</f>
        <v/>
      </c>
    </row>
    <row r="61" ht="18" customHeight="1" s="115">
      <c r="A61" s="226" t="inlineStr">
        <is>
          <t>53</t>
        </is>
      </c>
      <c r="B61" s="226">
        <f>Profile!C4+53</f>
        <v/>
      </c>
      <c r="C61" s="227">
        <f>Investments!B36*12</f>
        <v/>
      </c>
      <c r="D61" s="227">
        <f>D60*(1+IFERROR(Investments!E18,0.1))+C61</f>
        <v/>
      </c>
      <c r="E61" s="227">
        <f>D61</f>
        <v/>
      </c>
      <c r="F61" s="227">
        <f>Profile!C30</f>
        <v/>
      </c>
      <c r="G61" s="227">
        <f>E61-F61</f>
        <v/>
      </c>
      <c r="H61" s="228">
        <f>IFERROR(E61/F61,0)</f>
        <v/>
      </c>
      <c r="I61" s="229">
        <f>IF(E61&gt;=F61,"🏆 FREE!","Working...")</f>
        <v/>
      </c>
    </row>
    <row r="62" ht="18" customHeight="1" s="115">
      <c r="A62" s="222" t="inlineStr">
        <is>
          <t>54</t>
        </is>
      </c>
      <c r="B62" s="222">
        <f>Profile!C4+54</f>
        <v/>
      </c>
      <c r="C62" s="223">
        <f>Investments!B36*12</f>
        <v/>
      </c>
      <c r="D62" s="223">
        <f>D61*(1+IFERROR(Investments!E18,0.1))+C62</f>
        <v/>
      </c>
      <c r="E62" s="223">
        <f>D62</f>
        <v/>
      </c>
      <c r="F62" s="223">
        <f>Profile!C30</f>
        <v/>
      </c>
      <c r="G62" s="223">
        <f>E62-F62</f>
        <v/>
      </c>
      <c r="H62" s="224">
        <f>IFERROR(E62/F62,0)</f>
        <v/>
      </c>
      <c r="I62" s="230">
        <f>IF(E62&gt;=F62,"🏆 FREE!","Working...")</f>
        <v/>
      </c>
    </row>
    <row r="63" ht="18" customHeight="1" s="115">
      <c r="A63" s="226" t="inlineStr">
        <is>
          <t>55</t>
        </is>
      </c>
      <c r="B63" s="226">
        <f>Profile!C4+55</f>
        <v/>
      </c>
      <c r="C63" s="227">
        <f>Investments!B36*12</f>
        <v/>
      </c>
      <c r="D63" s="227">
        <f>D62*(1+IFERROR(Investments!E18,0.1))+C63</f>
        <v/>
      </c>
      <c r="E63" s="227">
        <f>D63</f>
        <v/>
      </c>
      <c r="F63" s="227">
        <f>Profile!C30</f>
        <v/>
      </c>
      <c r="G63" s="227">
        <f>E63-F63</f>
        <v/>
      </c>
      <c r="H63" s="228">
        <f>IFERROR(E63/F63,0)</f>
        <v/>
      </c>
      <c r="I63" s="229">
        <f>IF(E63&gt;=F63,"🏆 FREE!","Working...")</f>
        <v/>
      </c>
    </row>
    <row r="64" ht="18" customHeight="1" s="115">
      <c r="A64" s="222" t="inlineStr">
        <is>
          <t>56</t>
        </is>
      </c>
      <c r="B64" s="222">
        <f>Profile!C4+56</f>
        <v/>
      </c>
      <c r="C64" s="223">
        <f>Investments!B36*12</f>
        <v/>
      </c>
      <c r="D64" s="223">
        <f>D63*(1+IFERROR(Investments!E18,0.1))+C64</f>
        <v/>
      </c>
      <c r="E64" s="223">
        <f>D64</f>
        <v/>
      </c>
      <c r="F64" s="223">
        <f>Profile!C30</f>
        <v/>
      </c>
      <c r="G64" s="223">
        <f>E64-F64</f>
        <v/>
      </c>
      <c r="H64" s="224">
        <f>IFERROR(E64/F64,0)</f>
        <v/>
      </c>
      <c r="I64" s="230">
        <f>IF(E64&gt;=F64,"🏆 FREE!","Working...")</f>
        <v/>
      </c>
    </row>
    <row r="65" ht="18" customHeight="1" s="115">
      <c r="A65" s="226" t="inlineStr">
        <is>
          <t>57</t>
        </is>
      </c>
      <c r="B65" s="226">
        <f>Profile!C4+57</f>
        <v/>
      </c>
      <c r="C65" s="227">
        <f>Investments!B36*12</f>
        <v/>
      </c>
      <c r="D65" s="227">
        <f>D64*(1+IFERROR(Investments!E18,0.1))+C65</f>
        <v/>
      </c>
      <c r="E65" s="227">
        <f>D65</f>
        <v/>
      </c>
      <c r="F65" s="227">
        <f>Profile!C30</f>
        <v/>
      </c>
      <c r="G65" s="227">
        <f>E65-F65</f>
        <v/>
      </c>
      <c r="H65" s="228">
        <f>IFERROR(E65/F65,0)</f>
        <v/>
      </c>
      <c r="I65" s="229">
        <f>IF(E65&gt;=F65,"🏆 FREE!","Working...")</f>
        <v/>
      </c>
    </row>
    <row r="66" ht="18" customHeight="1" s="115">
      <c r="A66" s="222" t="inlineStr">
        <is>
          <t>58</t>
        </is>
      </c>
      <c r="B66" s="222">
        <f>Profile!C4+58</f>
        <v/>
      </c>
      <c r="C66" s="223">
        <f>Investments!B36*12</f>
        <v/>
      </c>
      <c r="D66" s="223">
        <f>D65*(1+IFERROR(Investments!E18,0.1))+C66</f>
        <v/>
      </c>
      <c r="E66" s="223">
        <f>D66</f>
        <v/>
      </c>
      <c r="F66" s="223">
        <f>Profile!C30</f>
        <v/>
      </c>
      <c r="G66" s="223">
        <f>E66-F66</f>
        <v/>
      </c>
      <c r="H66" s="224">
        <f>IFERROR(E66/F66,0)</f>
        <v/>
      </c>
      <c r="I66" s="230">
        <f>IF(E66&gt;=F66,"🏆 FREE!","Working...")</f>
        <v/>
      </c>
    </row>
    <row r="67" ht="18" customHeight="1" s="115">
      <c r="A67" s="226" t="inlineStr">
        <is>
          <t>59</t>
        </is>
      </c>
      <c r="B67" s="226">
        <f>Profile!C4+59</f>
        <v/>
      </c>
      <c r="C67" s="227">
        <f>Investments!B36*12</f>
        <v/>
      </c>
      <c r="D67" s="227">
        <f>D66*(1+IFERROR(Investments!E18,0.1))+C67</f>
        <v/>
      </c>
      <c r="E67" s="227">
        <f>D67</f>
        <v/>
      </c>
      <c r="F67" s="227">
        <f>Profile!C30</f>
        <v/>
      </c>
      <c r="G67" s="227">
        <f>E67-F67</f>
        <v/>
      </c>
      <c r="H67" s="228">
        <f>IFERROR(E67/F67,0)</f>
        <v/>
      </c>
      <c r="I67" s="229">
        <f>IF(E67&gt;=F67,"🏆 FREE!","Working...")</f>
        <v/>
      </c>
    </row>
    <row r="68" ht="18" customHeight="1" s="115">
      <c r="A68" s="222" t="inlineStr">
        <is>
          <t>60</t>
        </is>
      </c>
      <c r="B68" s="222">
        <f>Profile!C4+60</f>
        <v/>
      </c>
      <c r="C68" s="223">
        <f>Investments!B36*12</f>
        <v/>
      </c>
      <c r="D68" s="223">
        <f>D67*(1+IFERROR(Investments!E18,0.1))+C68</f>
        <v/>
      </c>
      <c r="E68" s="223">
        <f>D68</f>
        <v/>
      </c>
      <c r="F68" s="223">
        <f>Profile!C30</f>
        <v/>
      </c>
      <c r="G68" s="223">
        <f>E68-F68</f>
        <v/>
      </c>
      <c r="H68" s="224">
        <f>IFERROR(E68/F68,0)</f>
        <v/>
      </c>
      <c r="I68" s="230">
        <f>IF(E68&gt;=F68,"🏆 FREE!","Working...")</f>
        <v/>
      </c>
    </row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</sheetData>
  <mergeCells count="2">
    <mergeCell ref="A1:I2"/>
    <mergeCell ref="A6:I6"/>
  </mergeCells>
  <conditionalFormatting sqref="H8:H68">
    <cfRule type="colorScale" priority="2">
      <colorScale>
        <cfvo type="num" val="0"/>
        <cfvo type="num" val="0.5"/>
        <cfvo type="num" val="1"/>
        <color rgb="FFFFCCCC"/>
        <color rgb="FFFFFFCC"/>
        <color rgb="FFCCFFCC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2026-06-02T17:38:24Z</dcterms:created>
  <dcterms:modified xmlns:dcterms="http://purl.org/dc/terms/" xmlns:xsi="http://www.w3.org/2001/XMLSchema-instance" xsi:type="dcterms:W3CDTF">2026-06-09T10:46:33Z</dcterms:modified>
  <cp:revision>4</cp:revision>
</cp:coreProperties>
</file>