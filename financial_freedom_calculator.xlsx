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📊 Dashboard" sheetId="1" state="visible" r:id="rId3"/>
    <sheet name="Profile" sheetId="2" state="visible" r:id="rId4"/>
    <sheet name="Income &amp; Spend" sheetId="3" state="visible" r:id="rId5"/>
    <sheet name="Assets &amp; Liabilities" sheetId="4" state="visible" r:id="rId6"/>
    <sheet name="Investments" sheetId="5" state="visible" r:id="rId7"/>
    <sheet name="Life Events" sheetId="6" state="visible" r:id="rId8"/>
    <sheet name="Proje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<sst xmlns="http://schemas.openxmlformats.org/spreadsheetml/2006/main" count="421" uniqueCount="368">
  <si>
    <t xml:space="preserve">✦  FINANCIAL FREEDOM CALCULATOR</t>
  </si>
  <si>
    <t xml:space="preserve">Your path to financial independence — update Profile, Inputs, Investments &amp; Life Events sheets</t>
  </si>
  <si>
    <t xml:space="preserve">Freedom Number</t>
  </si>
  <si>
    <t xml:space="preserve">Current Net Worth</t>
  </si>
  <si>
    <t xml:space="preserve">Years to Freedom</t>
  </si>
  <si>
    <t xml:space="preserve">Freedom Age</t>
  </si>
  <si>
    <t xml:space="preserve">Monthly Surplus</t>
  </si>
  <si>
    <t xml:space="preserve">Progress %</t>
  </si>
  <si>
    <t xml:space="preserve">Target Corpus</t>
  </si>
  <si>
    <t xml:space="preserve">Assets − Liabilities</t>
  </si>
  <si>
    <t xml:space="preserve">At current savings rate</t>
  </si>
  <si>
    <t xml:space="preserve">When you reach corpus</t>
  </si>
  <si>
    <t xml:space="preserve">After all expenses &amp; SIPs</t>
  </si>
  <si>
    <t xml:space="preserve">Corpus achieved so far</t>
  </si>
  <si>
    <t xml:space="preserve">💰  MONTHLY CASH FLOW</t>
  </si>
  <si>
    <t xml:space="preserve">🏦  BALANCE SHEET</t>
  </si>
  <si>
    <t xml:space="preserve">Total Monthly Income</t>
  </si>
  <si>
    <t xml:space="preserve">Investment Portfolio</t>
  </si>
  <si>
    <t xml:space="preserve">Total Monthly Expenses</t>
  </si>
  <si>
    <t xml:space="preserve">Property Value</t>
  </si>
  <si>
    <t xml:space="preserve">Total EMIs</t>
  </si>
  <si>
    <t xml:space="preserve">Other Assets</t>
  </si>
  <si>
    <t xml:space="preserve">Total Monthly SIPs</t>
  </si>
  <si>
    <t xml:space="preserve">Total Liabilities</t>
  </si>
  <si>
    <t xml:space="preserve">Net Monthly Surplus</t>
  </si>
  <si>
    <t xml:space="preserve">Net Worth</t>
  </si>
  <si>
    <t xml:space="preserve">🌅  POST-FREEDOM CASHFLOW</t>
  </si>
  <si>
    <t xml:space="preserve">🎯  LIFE EVENTS IMPACT</t>
  </si>
  <si>
    <t xml:space="preserve">Monthly Expenses (post-FI)</t>
  </si>
  <si>
    <t xml:space="preserve">Marriage Cost (inflated)</t>
  </si>
  <si>
    <t xml:space="preserve">Passive / Part-time Income</t>
  </si>
  <si>
    <t xml:space="preserve">Kids Education (total)</t>
  </si>
  <si>
    <t xml:space="preserve">Net Monthly Withdrawal</t>
  </si>
  <si>
    <t xml:space="preserve">Custom Goals (total)</t>
  </si>
  <si>
    <t xml:space="preserve">Annual Withdrawal Needed</t>
  </si>
  <si>
    <t xml:space="preserve">Total Life Event Impact</t>
  </si>
  <si>
    <t xml:space="preserve">Safe Corpus (SWR based)</t>
  </si>
  <si>
    <t xml:space="preserve">Adj. Freedom Number</t>
  </si>
  <si>
    <t xml:space="preserve">📌  HOW TO USE THIS CALCULATOR</t>
  </si>
  <si>
    <t xml:space="preserve">1️⃣  Profile Sheet</t>
  </si>
  <si>
    <t xml:space="preserve">Set your age, target freedom age, currency, inflation &amp; SWR rate</t>
  </si>
  <si>
    <t xml:space="preserve">2️⃣  Income &amp; Spend</t>
  </si>
  <si>
    <t xml:space="preserve">Enter current &amp; post-freedom monthly income and expenses</t>
  </si>
  <si>
    <t xml:space="preserve">3️⃣  Assets &amp; Liabilities</t>
  </si>
  <si>
    <t xml:space="preserve">Add your home (own/rent), other assets, loans and EMIs</t>
  </si>
  <si>
    <t xml:space="preserve">4️⃣  Investments</t>
  </si>
  <si>
    <t xml:space="preserve">Add each investment with current value, monthly SIP and XIRR</t>
  </si>
  <si>
    <t xml:space="preserve">5️⃣  Life Events</t>
  </si>
  <si>
    <t xml:space="preserve">Plan marriage, children, education and custom goals</t>
  </si>
  <si>
    <t xml:space="preserve">6️⃣  Projections</t>
  </si>
  <si>
    <t xml:space="preserve">View year-by-year wealth chart and corpus projection</t>
  </si>
  <si>
    <t xml:space="preserve">🎨  COLOR KEY</t>
  </si>
  <si>
    <t xml:space="preserve">Blue text</t>
  </si>
  <si>
    <t xml:space="preserve">User input / hardcoded values — change these</t>
  </si>
  <si>
    <t xml:space="preserve">Black text</t>
  </si>
  <si>
    <t xml:space="preserve">Calculated formulas — do not edit</t>
  </si>
  <si>
    <t xml:space="preserve">Green text</t>
  </si>
  <si>
    <t xml:space="preserve">Cross-sheet links</t>
  </si>
  <si>
    <t xml:space="preserve">Yellow background</t>
  </si>
  <si>
    <t xml:space="preserve">Key assumptions to review</t>
  </si>
  <si>
    <t xml:space="preserve">👤  PROFILE &amp; ASSUMPTIONS</t>
  </si>
  <si>
    <t xml:space="preserve">PERSONAL DETAILS</t>
  </si>
  <si>
    <t xml:space="preserve">Current Age (years)</t>
  </si>
  <si>
    <t xml:space="preserve">Enter your age today</t>
  </si>
  <si>
    <t xml:space="preserve">Target Freedom Age</t>
  </si>
  <si>
    <t xml:space="preserve">Age at which you want to retire</t>
  </si>
  <si>
    <t xml:space="preserve">Life Expectancy</t>
  </si>
  <si>
    <t xml:space="preserve">Used for corpus duration check</t>
  </si>
  <si>
    <t xml:space="preserve">Annual Inflation Rate</t>
  </si>
  <si>
    <t xml:space="preserve">Expected annual inflation (e.g. 0.06 = 6%)</t>
  </si>
  <si>
    <t xml:space="preserve">Safe Withdrawal Rate (SWR)</t>
  </si>
  <si>
    <t xml:space="preserve">4% = classic FIRE rule; 3.5% for early retirement</t>
  </si>
  <si>
    <t xml:space="preserve">Currency Symbol</t>
  </si>
  <si>
    <t xml:space="preserve">₹</t>
  </si>
  <si>
    <t xml:space="preserve">₹ for INR; $ for USD; € for EUR etc.</t>
  </si>
  <si>
    <t xml:space="preserve">CURRENT LOCATION</t>
  </si>
  <si>
    <t xml:space="preserve">POST-FREEDOM LOCATION</t>
  </si>
  <si>
    <t xml:space="preserve">Country (Current)</t>
  </si>
  <si>
    <t xml:space="preserve">India</t>
  </si>
  <si>
    <t xml:space="preserve">Country (Post-Freedom)</t>
  </si>
  <si>
    <t xml:space="preserve">City (Current)</t>
  </si>
  <si>
    <t xml:space="preserve">Bangalore</t>
  </si>
  <si>
    <t xml:space="preserve">City (Post-Freedom)</t>
  </si>
  <si>
    <t xml:space="preserve">Goa</t>
  </si>
  <si>
    <t xml:space="preserve">📐  DERIVED CALCULATIONS</t>
  </si>
  <si>
    <t xml:space="preserve">Years to Freedom (target)</t>
  </si>
  <si>
    <t xml:space="preserve">Years in Retirement</t>
  </si>
  <si>
    <t xml:space="preserve">Inflation Multiplier @ Target</t>
  </si>
  <si>
    <t xml:space="preserve">🎯  FREEDOM NUMBER CALCULATION</t>
  </si>
  <si>
    <t xml:space="preserve">Post-FI Monthly Expenses</t>
  </si>
  <si>
    <t xml:space="preserve">Post-FI Passive Income</t>
  </si>
  <si>
    <t xml:space="preserve">Inflated Annual Withdrawal</t>
  </si>
  <si>
    <t xml:space="preserve">Base Freedom Number</t>
  </si>
  <si>
    <t xml:space="preserve">Life Events Total Impact</t>
  </si>
  <si>
    <t xml:space="preserve">Total Life Events Cost (inflated)</t>
  </si>
  <si>
    <t xml:space="preserve">✦  ADJUSTED FREEDOM NUMBER</t>
  </si>
  <si>
    <t xml:space="preserve">FREEDOM NUMBER (with Life Events)</t>
  </si>
  <si>
    <t xml:space="preserve">← Target corpus to retire</t>
  </si>
  <si>
    <t xml:space="preserve">Adjusted Freedom Number</t>
  </si>
  <si>
    <t xml:space="preserve">NET WORTH ►</t>
  </si>
  <si>
    <t xml:space="preserve">⏱  TIME TO FREEDOM</t>
  </si>
  <si>
    <t xml:space="preserve">Approx Years to Hit Corpus</t>
  </si>
  <si>
    <t xml:space="preserve">Freedom Age (approx)</t>
  </si>
  <si>
    <t xml:space="preserve">💰  INCOME &amp; SPENDING</t>
  </si>
  <si>
    <t xml:space="preserve">CURRENT INCOME</t>
  </si>
  <si>
    <t xml:space="preserve">POST-FREEDOM INCOME</t>
  </si>
  <si>
    <t xml:space="preserve">TOTAL</t>
  </si>
  <si>
    <t xml:space="preserve">Monthly Take-Home Salary</t>
  </si>
  <si>
    <t xml:space="preserve">Part-time / Passive Income</t>
  </si>
  <si>
    <t xml:space="preserve">Surplus → Dashboard</t>
  </si>
  <si>
    <t xml:space="preserve">Spouse Monthly Income</t>
  </si>
  <si>
    <t xml:space="preserve">Rental Income</t>
  </si>
  <si>
    <t xml:space="preserve">Other Income (Rent, Freelance)</t>
  </si>
  <si>
    <t xml:space="preserve">Other Post-FI Income</t>
  </si>
  <si>
    <t xml:space="preserve">Annual Bonus ÷ 12</t>
  </si>
  <si>
    <t xml:space="preserve">Pension / Annuity</t>
  </si>
  <si>
    <t xml:space="preserve">Total Current Income</t>
  </si>
  <si>
    <t xml:space="preserve">Total Post-FI Income</t>
  </si>
  <si>
    <t xml:space="preserve">CURRENT MONTHLY EXPENSES</t>
  </si>
  <si>
    <t xml:space="preserve">POST-FREEDOM MONTHLY EXPENSES</t>
  </si>
  <si>
    <t xml:space="preserve">Category</t>
  </si>
  <si>
    <t xml:space="preserve">Amount (₹)</t>
  </si>
  <si>
    <t xml:space="preserve">Diff</t>
  </si>
  <si>
    <t xml:space="preserve">Housing (Rent/EMI)</t>
  </si>
  <si>
    <t xml:space="preserve">Housing</t>
  </si>
  <si>
    <t xml:space="preserve">Food &amp; Groceries</t>
  </si>
  <si>
    <t xml:space="preserve">Transport</t>
  </si>
  <si>
    <t xml:space="preserve">Utilities &amp; Bills</t>
  </si>
  <si>
    <t xml:space="preserve">Health &amp; Insurance</t>
  </si>
  <si>
    <t xml:space="preserve">Entertainment &amp; Lifestyle</t>
  </si>
  <si>
    <t xml:space="preserve">Entertainment</t>
  </si>
  <si>
    <t xml:space="preserve">Children &amp; Education</t>
  </si>
  <si>
    <t xml:space="preserve">Miscellaneous</t>
  </si>
  <si>
    <t xml:space="preserve">Other</t>
  </si>
  <si>
    <t xml:space="preserve">TOTAL EXPENSES</t>
  </si>
  <si>
    <t xml:space="preserve">TOTAL POST-FI EXPENSES</t>
  </si>
  <si>
    <t xml:space="preserve">Total Income</t>
  </si>
  <si>
    <t xml:space="preserve">Post-FI (₹/mo)</t>
  </si>
  <si>
    <t xml:space="preserve">Total Expenses</t>
  </si>
  <si>
    <t xml:space="preserve">EMIs</t>
  </si>
  <si>
    <t xml:space="preserve">SIPs</t>
  </si>
  <si>
    <t xml:space="preserve">NET SURPLUS</t>
  </si>
  <si>
    <t xml:space="preserve">🏠  ASSETS &amp; LIABILITIES</t>
  </si>
  <si>
    <t xml:space="preserve">🏘️  HOUSING — OWN vs RENT</t>
  </si>
  <si>
    <t xml:space="preserve">Housing Choice (Own / Rent)</t>
  </si>
  <si>
    <t xml:space="preserve">Own</t>
  </si>
  <si>
    <t xml:space="preserve">Enter 'Own' or 'Rent'</t>
  </si>
  <si>
    <t xml:space="preserve">IF OWN — Home Details</t>
  </si>
  <si>
    <t xml:space="preserve">Property Market Value</t>
  </si>
  <si>
    <t xml:space="preserve">Home Loan Outstanding Balance</t>
  </si>
  <si>
    <t xml:space="preserve">Remaining Tenure (years)</t>
  </si>
  <si>
    <t xml:space="preserve">Property Appreciation (%/yr)</t>
  </si>
  <si>
    <t xml:space="preserve">Computed Monthly EMI</t>
  </si>
  <si>
    <t xml:space="preserve">Net Property Value (Equity)</t>
  </si>
  <si>
    <t xml:space="preserve">IF RENT</t>
  </si>
  <si>
    <t xml:space="preserve">Monthly Rent</t>
  </si>
  <si>
    <t xml:space="preserve">Annual Rent Increase (%)</t>
  </si>
  <si>
    <t xml:space="preserve">💎  OTHER ASSETS</t>
  </si>
  <si>
    <t xml:space="preserve">Asset Name</t>
  </si>
  <si>
    <t xml:space="preserve">Current Value (₹)</t>
  </si>
  <si>
    <t xml:space="preserve">Type</t>
  </si>
  <si>
    <t xml:space="preserve">Notes</t>
  </si>
  <si>
    <t xml:space="preserve">Car / Vehicle</t>
  </si>
  <si>
    <t xml:space="preserve">Vehicle</t>
  </si>
  <si>
    <t xml:space="preserve">Depreciating asset</t>
  </si>
  <si>
    <t xml:space="preserve">Gold</t>
  </si>
  <si>
    <t xml:space="preserve">Include ETF/SGB value</t>
  </si>
  <si>
    <t xml:space="preserve">Land / Plot</t>
  </si>
  <si>
    <t xml:space="preserve">Real Estate</t>
  </si>
  <si>
    <t xml:space="preserve">Market value today</t>
  </si>
  <si>
    <t xml:space="preserve">PF / Gratuity</t>
  </si>
  <si>
    <t xml:space="preserve">Retirement Fund</t>
  </si>
  <si>
    <t xml:space="preserve">Current PF balance</t>
  </si>
  <si>
    <t xml:space="preserve">Other Asset 1</t>
  </si>
  <si>
    <t xml:space="preserve">Other Asset 2</t>
  </si>
  <si>
    <t xml:space="preserve">TOTAL OTHER ASSETS</t>
  </si>
  <si>
    <t xml:space="preserve">🔴  LOANS &amp; LIABILITIES (excl. Home Loan)</t>
  </si>
  <si>
    <t xml:space="preserve">Loan Name</t>
  </si>
  <si>
    <t xml:space="preserve">Outstanding Balance</t>
  </si>
  <si>
    <t xml:space="preserve">Monthly EMI</t>
  </si>
  <si>
    <t xml:space="preserve">Interest Rate</t>
  </si>
  <si>
    <t xml:space="preserve">Car Loan</t>
  </si>
  <si>
    <t xml:space="preserve">9% p.a.</t>
  </si>
  <si>
    <t xml:space="preserve">Personal Loan</t>
  </si>
  <si>
    <t xml:space="preserve">Education Loan</t>
  </si>
  <si>
    <t xml:space="preserve">Credit Card</t>
  </si>
  <si>
    <t xml:space="preserve">Revolving balance</t>
  </si>
  <si>
    <t xml:space="preserve">Other Loan 1</t>
  </si>
  <si>
    <t xml:space="preserve">Other Loan 2</t>
  </si>
  <si>
    <t xml:space="preserve">TOTAL LIABILITIES (excl. home)</t>
  </si>
  <si>
    <t xml:space="preserve">TOTAL EMIs (excl. home)</t>
  </si>
  <si>
    <t xml:space="preserve">📈  INVESTMENT PORTFOLIO</t>
  </si>
  <si>
    <t xml:space="preserve">INVESTMENT PORTFOLIO — XIRR / EXPECTED RETURN</t>
  </si>
  <si>
    <t xml:space="preserve">Investment Type</t>
  </si>
  <si>
    <t xml:space="preserve">Monthly SIP (₹)</t>
  </si>
  <si>
    <t xml:space="preserve">XIRR / Rate %</t>
  </si>
  <si>
    <t xml:space="preserve">Projected 10Y Value (₹)</t>
  </si>
  <si>
    <t xml:space="preserve">Equity Mutual Fund</t>
  </si>
  <si>
    <t xml:space="preserve">Diversified / Flexi Cap</t>
  </si>
  <si>
    <t xml:space="preserve">Index Fund / ETF</t>
  </si>
  <si>
    <t xml:space="preserve">Nifty 50 / S&amp;P 500</t>
  </si>
  <si>
    <t xml:space="preserve">Debt Mutual Fund</t>
  </si>
  <si>
    <t xml:space="preserve">Short / Medium duration</t>
  </si>
  <si>
    <t xml:space="preserve">Gold (ETF / SGB)</t>
  </si>
  <si>
    <t xml:space="preserve">Sovereign Gold Bond</t>
  </si>
  <si>
    <t xml:space="preserve">Fixed Deposit</t>
  </si>
  <si>
    <t xml:space="preserve">Bank FD</t>
  </si>
  <si>
    <t xml:space="preserve">PPF</t>
  </si>
  <si>
    <t xml:space="preserve">Public Provident Fund</t>
  </si>
  <si>
    <t xml:space="preserve">NPS</t>
  </si>
  <si>
    <t xml:space="preserve">National Pension System</t>
  </si>
  <si>
    <t xml:space="preserve">US Stocks / ETF</t>
  </si>
  <si>
    <t xml:space="preserve">S&amp;P 500 index fund</t>
  </si>
  <si>
    <t xml:space="preserve">Direct Stocks</t>
  </si>
  <si>
    <t xml:space="preserve">Real Estate (REITs)</t>
  </si>
  <si>
    <t xml:space="preserve">Crypto</t>
  </si>
  <si>
    <t xml:space="preserve">High risk</t>
  </si>
  <si>
    <t xml:space="preserve">Other Investments</t>
  </si>
  <si>
    <t xml:space="preserve">TOTAL PORTFOLIO</t>
  </si>
  <si>
    <t xml:space="preserve">Weighted Portfolio XIRR</t>
  </si>
  <si>
    <t xml:space="preserve">📊  XIRR REFERENCE GUIDE (Historical / Expected)</t>
  </si>
  <si>
    <t xml:space="preserve">Asset Class</t>
  </si>
  <si>
    <t xml:space="preserve">Low</t>
  </si>
  <si>
    <t xml:space="preserve">Mid</t>
  </si>
  <si>
    <t xml:space="preserve">High</t>
  </si>
  <si>
    <t xml:space="preserve">Risk</t>
  </si>
  <si>
    <t xml:space="preserve">10%</t>
  </si>
  <si>
    <t xml:space="preserve">12%</t>
  </si>
  <si>
    <t xml:space="preserve">15%</t>
  </si>
  <si>
    <t xml:space="preserve">10Y+ horizon</t>
  </si>
  <si>
    <t xml:space="preserve">9%</t>
  </si>
  <si>
    <t xml:space="preserve">11%</t>
  </si>
  <si>
    <t xml:space="preserve">Medium-High</t>
  </si>
  <si>
    <t xml:space="preserve">Low cost, market returns</t>
  </si>
  <si>
    <t xml:space="preserve">NPS (Equity)</t>
  </si>
  <si>
    <t xml:space="preserve">8%</t>
  </si>
  <si>
    <t xml:space="preserve">Medium</t>
  </si>
  <si>
    <t xml:space="preserve">Long lock-in</t>
  </si>
  <si>
    <t xml:space="preserve">Gold (ETF/SGB)</t>
  </si>
  <si>
    <t xml:space="preserve">6%</t>
  </si>
  <si>
    <t xml:space="preserve">Hedge against inflation</t>
  </si>
  <si>
    <t xml:space="preserve">7.1%</t>
  </si>
  <si>
    <t xml:space="preserve">Tax-free, guaranteed</t>
  </si>
  <si>
    <t xml:space="preserve">6.5%</t>
  </si>
  <si>
    <t xml:space="preserve">7%</t>
  </si>
  <si>
    <t xml:space="preserve">7.5%</t>
  </si>
  <si>
    <t xml:space="preserve">Very Low</t>
  </si>
  <si>
    <t xml:space="preserve">Taxable interest</t>
  </si>
  <si>
    <t xml:space="preserve">Low-Medium</t>
  </si>
  <si>
    <t xml:space="preserve">Better than FD post-tax</t>
  </si>
  <si>
    <t xml:space="preserve">US ETF (S&amp;P 500)</t>
  </si>
  <si>
    <t xml:space="preserve">13%</t>
  </si>
  <si>
    <t xml:space="preserve">Currency risk</t>
  </si>
  <si>
    <t xml:space="preserve">20%</t>
  </si>
  <si>
    <t xml:space="preserve">Very High</t>
  </si>
  <si>
    <t xml:space="preserve">Stock picking risk</t>
  </si>
  <si>
    <t xml:space="preserve">0%</t>
  </si>
  <si>
    <t xml:space="preserve">18%</t>
  </si>
  <si>
    <t xml:space="preserve">40%</t>
  </si>
  <si>
    <t xml:space="preserve">Extreme</t>
  </si>
  <si>
    <t xml:space="preserve">Speculative only</t>
  </si>
  <si>
    <t xml:space="preserve">🎯  LIFE EVENTS &amp; GOALS</t>
  </si>
  <si>
    <t xml:space="preserve">💑  MARRIAGE</t>
  </si>
  <si>
    <t xml:space="preserve">Marry? (Yes/No)</t>
  </si>
  <si>
    <t xml:space="preserve">Your Age</t>
  </si>
  <si>
    <t xml:space="preserve">Today Cost (₹)</t>
  </si>
  <si>
    <t xml:space="preserve">Inflated Cost (₹)</t>
  </si>
  <si>
    <t xml:space="preserve">Marriage</t>
  </si>
  <si>
    <t xml:space="preserve">Yes</t>
  </si>
  <si>
    <t xml:space="preserve">👶  CHILDREN</t>
  </si>
  <si>
    <t xml:space="preserve">Child</t>
  </si>
  <si>
    <t xml:space="preserve">Your Age at Birth</t>
  </si>
  <si>
    <t xml:space="preserve">Monthly Cost</t>
  </si>
  <si>
    <t xml:space="preserve">Education Cost (today ₹)</t>
  </si>
  <si>
    <t xml:space="preserve">Inflated Edu. Cost</t>
  </si>
  <si>
    <t xml:space="preserve">Child 1</t>
  </si>
  <si>
    <t xml:space="preserve">Education Inflation Override (%)</t>
  </si>
  <si>
    <t xml:space="preserve">Education Inflation (%)</t>
  </si>
  <si>
    <t xml:space="preserve">TOTAL CHILDREN EDUCATION</t>
  </si>
  <si>
    <t xml:space="preserve">✈️  CUSTOM LIFE GOALS</t>
  </si>
  <si>
    <t xml:space="preserve">Goal Name</t>
  </si>
  <si>
    <t xml:space="preserve">Priority</t>
  </si>
  <si>
    <t xml:space="preserve">Today's Cost (₹)</t>
  </si>
  <si>
    <t xml:space="preserve">Dream Vacation</t>
  </si>
  <si>
    <t xml:space="preserve">Business / Startup</t>
  </si>
  <si>
    <t xml:space="preserve">Second Home / Land</t>
  </si>
  <si>
    <t xml:space="preserve">Car Upgrade</t>
  </si>
  <si>
    <t xml:space="preserve">Parent Care Fund</t>
  </si>
  <si>
    <t xml:space="preserve">Custom Goal 1</t>
  </si>
  <si>
    <t xml:space="preserve">—</t>
  </si>
  <si>
    <t xml:space="preserve">Custom Goal 2</t>
  </si>
  <si>
    <t xml:space="preserve">Custom Goal 3</t>
  </si>
  <si>
    <t xml:space="preserve">TOTAL CUSTOM GOALS</t>
  </si>
  <si>
    <t xml:space="preserve">📊  TOTAL LIFE EVENTS IMPACT</t>
  </si>
  <si>
    <t xml:space="preserve">Children Education (inflated)</t>
  </si>
  <si>
    <t xml:space="preserve">Custom Goals (inflated)</t>
  </si>
  <si>
    <t xml:space="preserve">GRAND TOTAL LIFE EVENTS</t>
  </si>
  <si>
    <t xml:space="preserve">📈  WEALTH PROJECTION — Year by Year</t>
  </si>
  <si>
    <t xml:space="preserve">Years to Freedom →</t>
  </si>
  <si>
    <t xml:space="preserve">📊  ANNUAL WEALTH PROJECTION TABLE</t>
  </si>
  <si>
    <t xml:space="preserve">Year</t>
  </si>
  <si>
    <t xml:space="preserve">Age</t>
  </si>
  <si>
    <t xml:space="preserve">Annual SIP (₹)</t>
  </si>
  <si>
    <t xml:space="preserve">Investment Value (₹)</t>
  </si>
  <si>
    <t xml:space="preserve">Projected Corpus (₹)</t>
  </si>
  <si>
    <t xml:space="preserve">Freedom Number (₹)</t>
  </si>
  <si>
    <t xml:space="preserve">Surplus / Gap (₹)</t>
  </si>
  <si>
    <t xml:space="preserve">Status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</si>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</sst>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;&quot;(₹&quot;#,##0\);\-"/>
    <numFmt numFmtId="166" formatCode="0&quot; yrs&quot;"/>
    <numFmt numFmtId="167" formatCode="0&quot; yrs old&quot;"/>
    <numFmt numFmtId="168" formatCode="0.0%"/>
    <numFmt numFmtId="169" formatCode="#,##0;\(#,##0\);\-"/>
    <numFmt numFmtId="170" formatCode="0.0%;\-0.0%;\-"/>
    <numFmt numFmtId="171" formatCode="@"/>
    <numFmt numFmtId="172" formatCode="0&quot; yrs&quot;;\(0&quot; yrs)&quot;;\-"/>
    <numFmt numFmtId="173" formatCode="0.000"/>
    <numFmt numFmtId="174" formatCode="0"/>
    <numFmt numFmtId="175" formatCode="0.00%;\-0.00%;\-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9A84C"/>
      <name val="Arial"/>
      <family val="0"/>
      <charset val="1"/>
    </font>
    <font>
      <i val="true"/>
      <sz val="10"/>
      <color rgb="FF6B7A99"/>
      <name val="Arial"/>
      <family val="0"/>
      <charset val="1"/>
    </font>
    <font>
      <b val="true"/>
      <sz val="9"/>
      <color rgb="FFA0AEC0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i val="true"/>
      <sz val="8"/>
      <color rgb="FF6B7A99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2D3748"/>
      <name val="Arial"/>
      <family val="0"/>
      <charset val="1"/>
    </font>
    <font>
      <sz val="10"/>
      <color rgb="FF1A365D"/>
      <name val="Arial"/>
      <family val="0"/>
      <charset val="1"/>
    </font>
    <font>
      <sz val="10"/>
      <color rgb="FFF56565"/>
      <name val="Arial"/>
      <family val="0"/>
      <charset val="1"/>
    </font>
    <font>
      <b val="true"/>
      <sz val="10"/>
      <color rgb="FF3ECF8E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sz val="10"/>
      <color rgb="FF5D4037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9"/>
      <color rgb="FF6B7A9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E8C96A"/>
      <name val="Arial"/>
      <family val="0"/>
      <charset val="1"/>
    </font>
    <font>
      <b val="true"/>
      <sz val="14"/>
      <color rgb="FFE8C96A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sz val="10"/>
      <color rgb="FFC9A84C"/>
      <name val="Arial"/>
      <family val="0"/>
      <charset val="1"/>
    </font>
    <font>
      <b val="true"/>
      <sz val="11"/>
      <color rgb="FF3ECF8E"/>
      <name val="Arial"/>
      <family val="0"/>
      <charset val="1"/>
    </font>
    <font>
      <b val="true"/>
      <sz val="14"/>
      <color rgb="FF3ECF8E"/>
      <name val="Arial"/>
      <family val="0"/>
      <charset val="1"/>
    </font>
    <font>
      <b val="true"/>
      <sz val="10"/>
      <color rgb="FF4A7FFF"/>
      <name val="Arial"/>
      <family val="0"/>
      <charset val="1"/>
    </font>
    <font>
      <b val="true"/>
      <sz val="12"/>
      <color rgb="FF4A7FFF"/>
      <name val="Arial"/>
      <family val="0"/>
      <charset val="1"/>
    </font>
    <font>
      <b val="true"/>
      <sz val="10"/>
      <color rgb="FFF56565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1"/>
      <color rgb="FFF56565"/>
      <name val="Arial"/>
      <family val="0"/>
      <charset val="1"/>
    </font>
    <font>
      <b val="true"/>
      <sz val="9"/>
      <color rgb="FF4A7FFF"/>
      <name val="Arial"/>
      <family val="0"/>
      <charset val="1"/>
    </font>
    <font>
      <b val="true"/>
      <sz val="9"/>
      <color rgb="FF3ECF8E"/>
      <name val="Arial"/>
      <family val="0"/>
      <charset val="1"/>
    </font>
    <font>
      <b val="true"/>
      <sz val="9"/>
      <color rgb="FFF56565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12"/>
      <color rgb="FFE8C96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D1120"/>
        <bgColor rgb="FF131726"/>
      </patternFill>
    </fill>
    <fill>
      <patternFill patternType="solid">
        <fgColor rgb="FF1A2744"/>
        <bgColor rgb="FF1F2A40"/>
      </patternFill>
    </fill>
    <fill>
      <patternFill patternType="solid">
        <fgColor rgb="FF131726"/>
        <bgColor rgb="FF0D1A2B"/>
      </patternFill>
    </fill>
    <fill>
      <patternFill patternType="solid">
        <fgColor rgb="FFEEF2F7"/>
        <bgColor rgb="FFEBF5FB"/>
      </patternFill>
    </fill>
    <fill>
      <patternFill patternType="solid">
        <fgColor rgb="FFF7F9FC"/>
        <bgColor rgb="FFF5F7FA"/>
      </patternFill>
    </fill>
    <fill>
      <patternFill patternType="solid">
        <fgColor rgb="FFFFF9E6"/>
        <bgColor rgb="FFFFFDE7"/>
      </patternFill>
    </fill>
    <fill>
      <patternFill patternType="solid">
        <fgColor rgb="FFFFFEF5"/>
        <bgColor rgb="FFFFFFF5"/>
      </patternFill>
    </fill>
    <fill>
      <patternFill patternType="solid">
        <fgColor rgb="FFFFFFF5"/>
        <bgColor rgb="FFFFFEF5"/>
      </patternFill>
    </fill>
    <fill>
      <patternFill patternType="solid">
        <fgColor rgb="FFF5F7FA"/>
        <bgColor rgb="FFF7F9FC"/>
      </patternFill>
    </fill>
    <fill>
      <patternFill patternType="solid">
        <fgColor rgb="FFFFFDE7"/>
        <bgColor rgb="FFFFF9E6"/>
      </patternFill>
    </fill>
    <fill>
      <patternFill patternType="solid">
        <fgColor rgb="FFEBF5FB"/>
        <bgColor rgb="FFEEF2F7"/>
      </patternFill>
    </fill>
    <fill>
      <patternFill patternType="solid">
        <fgColor rgb="FF2A2210"/>
        <bgColor rgb="FF131726"/>
      </patternFill>
    </fill>
    <fill>
      <patternFill patternType="solid">
        <fgColor rgb="FF0D2B1E"/>
        <bgColor rgb="FF0D1A2B"/>
      </patternFill>
    </fill>
    <fill>
      <patternFill patternType="solid">
        <fgColor rgb="FF0D1A2B"/>
        <bgColor rgb="FF131726"/>
      </patternFill>
    </fill>
    <fill>
      <patternFill patternType="solid">
        <fgColor rgb="FFF0F4FF"/>
        <bgColor rgb="FFEBF5FB"/>
      </patternFill>
    </fill>
    <fill>
      <patternFill patternType="solid">
        <fgColor rgb="FFD4EFDF"/>
        <bgColor rgb="FFEBF5FB"/>
      </patternFill>
    </fill>
    <fill>
      <patternFill patternType="solid">
        <fgColor rgb="FFFFFFFF"/>
        <bgColor rgb="FFFFFFF5"/>
      </patternFill>
    </fill>
    <fill>
      <patternFill patternType="solid">
        <fgColor rgb="FFFADBD8"/>
        <bgColor rgb="FFD9D9D9"/>
      </patternFill>
    </fill>
    <fill>
      <patternFill patternType="solid">
        <fgColor rgb="FFEEF8EC"/>
        <bgColor rgb="FFEBF5FB"/>
      </patternFill>
    </fill>
    <fill>
      <patternFill patternType="solid">
        <fgColor rgb="FFFFF9C4"/>
        <bgColor rgb="FFFFF9E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F2A40"/>
      </left>
      <right style="thin">
        <color rgb="FF1F2A40"/>
      </right>
      <top style="thin">
        <color rgb="FF1F2A40"/>
      </top>
      <bottom style="thin">
        <color rgb="FF1F2A40"/>
      </bottom>
      <diagonal/>
    </border>
    <border diagonalUp="false" diagonalDown="false">
      <left style="thin">
        <color rgb="FFE8D5A3"/>
      </left>
      <right style="thin">
        <color rgb="FFE8D5A3"/>
      </right>
      <top style="thin">
        <color rgb="FFE8D5A3"/>
      </top>
      <bottom style="thin">
        <color rgb="FFE8D5A3"/>
      </bottom>
      <diagonal/>
    </border>
    <border diagonalUp="false" diagonalDown="false">
      <left style="thin">
        <color rgb="FF1F2A40"/>
      </left>
      <right/>
      <top style="thin">
        <color rgb="FF1F2A40"/>
      </top>
      <bottom style="thin">
        <color rgb="FF1F2A4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E8D5A3"/>
      </left>
      <right/>
      <top style="thin">
        <color rgb="FFE8D5A3"/>
      </top>
      <bottom style="thin">
        <color rgb="FFE8D5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1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22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22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2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5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7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8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9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1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33" fillId="1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2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4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4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0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0" fillId="1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11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11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8" fillId="1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1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1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9" fillId="1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2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0" fillId="2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1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32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2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2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4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131726"/>
      <rgbColor rgb="FF008000"/>
      <rgbColor rgb="FF0D1120"/>
      <rgbColor rgb="FF808000"/>
      <rgbColor rgb="FF1A2744"/>
      <rgbColor rgb="FF008080"/>
      <rgbColor rgb="FFA0AEC0"/>
      <rgbColor rgb="FF878787"/>
      <rgbColor rgb="FFF5F7FA"/>
      <rgbColor rgb="FF5D4037"/>
      <rgbColor rgb="FFFFF9C4"/>
      <rgbColor rgb="FFEBF5FB"/>
      <rgbColor rgb="FF1F2A40"/>
      <rgbColor rgb="FFF56565"/>
      <rgbColor rgb="FF0070C0"/>
      <rgbColor rgb="FFD9D9D9"/>
      <rgbColor rgb="FF0D1A2B"/>
      <rgbColor rgb="FFFF00FF"/>
      <rgbColor rgb="FFFFFFF5"/>
      <rgbColor rgb="FF00FFFF"/>
      <rgbColor rgb="FF800080"/>
      <rgbColor rgb="FF800000"/>
      <rgbColor rgb="FF008080"/>
      <rgbColor rgb="FF0000FF"/>
      <rgbColor rgb="FF00CCFF"/>
      <rgbColor rgb="FFEEF8EC"/>
      <rgbColor rgb="FFD4EFDF"/>
      <rgbColor rgb="FFFFFDE7"/>
      <rgbColor rgb="FFEEF2F7"/>
      <rgbColor rgb="FFFADBD8"/>
      <rgbColor rgb="FFF0F4FF"/>
      <rgbColor rgb="FFE8D5A3"/>
      <rgbColor rgb="FF4A7FFF"/>
      <rgbColor rgb="FF3ECF8E"/>
      <rgbColor rgb="FFF7F9FC"/>
      <rgbColor rgb="FFE8C96A"/>
      <rgbColor rgb="FFFFFEF5"/>
      <rgbColor rgb="FFFF6600"/>
      <rgbColor rgb="FF6B7A99"/>
      <rgbColor rgb="FFC9A84C"/>
      <rgbColor rgb="FF1A365D"/>
      <rgbColor rgb="FF339966"/>
      <rgbColor rgb="FF0D2B1E"/>
      <rgbColor rgb="FF2A2210"/>
      <rgbColor rgb="FF7B4F00"/>
      <rgbColor rgb="FF993366"/>
      <rgbColor rgb="FF1A5276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Wealth Projection vs Freedom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Projections!E7</c:f>
              <c:strCache>
                <c:ptCount val="1"/>
                <c:pt idx="0">
                  <c:v>Projected Corpus (₹)</c:v>
                </c:pt>
              </c:strCache>
            </c:strRef>
          </c:tx>
          <c:spPr>
            <a:solidFill>
              <a:srgbClr val="c9a84c"/>
            </a:solidFill>
            <a:ln w="2484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Projections!$B$8:$B$68</c:f>
              <c:strCache>
                <c:ptCount val="6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</c:strCache>
            </c:strRef>
          </c:cat>
          <c:val>
            <c:numRef>
              <c:f>Projections!$E$8:$E$68</c:f>
              <c:numCache>
                <c:formatCode>\₹#,##0;"(₹"#,##0\);\-</c:formatCode>
                <c:ptCount val="61"/>
                <c:pt idx="0">
                  <c:v>760000</c:v>
                </c:pt>
                <c:pt idx="1">
                  <c:v>1166850</c:v>
                </c:pt>
                <c:pt idx="2">
                  <c:v>1611628.05592105</c:v>
                </c:pt>
                <c:pt idx="3">
                  <c:v>2097869.96087106</c:v>
                </c:pt>
                <c:pt idx="4">
                  <c:v>2629441.12761805</c:v>
                </c:pt>
                <c:pt idx="5">
                  <c:v>3210567.31694929</c:v>
                </c:pt>
                <c:pt idx="6">
                  <c:v>3845868.23064121</c:v>
                </c:pt>
                <c:pt idx="7">
                  <c:v>4540394.2360898</c:v>
                </c:pt>
                <c:pt idx="8">
                  <c:v>5299666.51454633</c:v>
                </c:pt>
                <c:pt idx="9">
                  <c:v>6129720.9521195</c:v>
                </c:pt>
                <c:pt idx="10">
                  <c:v>7037156.12245853</c:v>
                </c:pt>
                <c:pt idx="11">
                  <c:v>8029185.74255878</c:v>
                </c:pt>
                <c:pt idx="12">
                  <c:v>9113696.01869074</c:v>
                </c:pt>
                <c:pt idx="13">
                  <c:v>10299308.3383279</c:v>
                </c:pt>
                <c:pt idx="14">
                  <c:v>11595447.806447</c:v>
                </c:pt>
                <c:pt idx="15">
                  <c:v>13012418.1710349</c:v>
                </c:pt>
                <c:pt idx="16">
                  <c:v>14561483.7334267</c:v>
                </c:pt>
                <c:pt idx="17">
                  <c:v>16254958.8946284</c:v>
                </c:pt>
                <c:pt idx="18">
                  <c:v>18106306.0494764</c:v>
                </c:pt>
                <c:pt idx="19">
                  <c:v>20130242.6068519</c:v>
                </c:pt>
                <c:pt idx="20">
                  <c:v>22342857.9867143</c:v>
                </c:pt>
                <c:pt idx="21">
                  <c:v>24761741.5240284</c:v>
                </c:pt>
                <c:pt idx="22">
                  <c:v>27406122.2963671</c:v>
                </c:pt>
                <c:pt idx="23">
                  <c:v>30297021.9867587</c:v>
                </c:pt>
                <c:pt idx="24">
                  <c:v>33457421.9969717</c:v>
                </c:pt>
                <c:pt idx="25">
                  <c:v>36912446.1397157</c:v>
                </c:pt>
                <c:pt idx="26">
                  <c:v>40689560.3620826</c:v>
                </c:pt>
                <c:pt idx="27">
                  <c:v>44818791.0879425</c:v>
                </c:pt>
                <c:pt idx="28">
                  <c:v>49332963.9150224</c:v>
                </c:pt>
                <c:pt idx="29">
                  <c:v>54267964.5642058</c:v>
                </c:pt>
                <c:pt idx="30">
                  <c:v>59663024.1554873</c:v>
                </c:pt>
                <c:pt idx="31">
                  <c:v>65561031.0784035</c:v>
                </c:pt>
                <c:pt idx="32">
                  <c:v>72008871.9361731</c:v>
                </c:pt>
                <c:pt idx="33">
                  <c:v>79057804.2739071</c:v>
                </c:pt>
                <c:pt idx="34">
                  <c:v>86763864.0539154</c:v>
                </c:pt>
                <c:pt idx="35">
                  <c:v>95188311.1173626</c:v>
                </c:pt>
                <c:pt idx="36">
                  <c:v>104398116.173501</c:v>
                </c:pt>
                <c:pt idx="37">
                  <c:v>114466493.187833</c:v>
                </c:pt>
                <c:pt idx="38">
                  <c:v>125473481.401462</c:v>
                </c:pt>
                <c:pt idx="39">
                  <c:v>137506581.608427</c:v>
                </c:pt>
                <c:pt idx="40">
                  <c:v>150661451.74916</c:v>
                </c:pt>
                <c:pt idx="41">
                  <c:v>165042667.349724</c:v>
                </c:pt>
                <c:pt idx="42">
                  <c:v>180764552.851997</c:v>
                </c:pt>
                <c:pt idx="43">
                  <c:v>197952090.443529</c:v>
                </c:pt>
                <c:pt idx="44">
                  <c:v>216741913.61185</c:v>
                </c:pt>
                <c:pt idx="45">
                  <c:v>237283393.321586</c:v>
                </c:pt>
                <c:pt idx="46">
                  <c:v>259739825.449</c:v>
                </c:pt>
                <c:pt idx="47">
                  <c:v>284289728.913555</c:v>
                </c:pt>
                <c:pt idx="48">
                  <c:v>311128264.826088</c:v>
                </c:pt>
                <c:pt idx="49">
                  <c:v>340468787.935204</c:v>
                </c:pt>
                <c:pt idx="50">
                  <c:v>372544542.705216</c:v>
                </c:pt>
                <c:pt idx="51">
                  <c:v>407610517.508722</c:v>
                </c:pt>
                <c:pt idx="52">
                  <c:v>445945471.673845</c:v>
                </c:pt>
                <c:pt idx="53">
                  <c:v>487854151.500281</c:v>
                </c:pt>
                <c:pt idx="54">
                  <c:v>533669712.860538</c:v>
                </c:pt>
                <c:pt idx="55">
                  <c:v>583756369.644971</c:v>
                </c:pt>
                <c:pt idx="56">
                  <c:v>638512289.104637</c:v>
                </c:pt>
                <c:pt idx="57">
                  <c:v>698372757.108668</c:v>
                </c:pt>
                <c:pt idx="58">
                  <c:v>763813638.478601</c:v>
                </c:pt>
                <c:pt idx="59">
                  <c:v>835355159.907823</c:v>
                </c:pt>
                <c:pt idx="60">
                  <c:v>913566045.538704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Projections!F7</c:f>
              <c:strCache>
                <c:ptCount val="1"/>
                <c:pt idx="0">
                  <c:v>Freedom Number (₹)</c:v>
                </c:pt>
              </c:strCache>
            </c:strRef>
          </c:tx>
          <c:spPr>
            <a:solidFill>
              <a:srgbClr val="3ecf8e"/>
            </a:solidFill>
            <a:ln w="20160">
              <a:solidFill>
                <a:srgbClr val="3ec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Projections!$B$8:$B$68</c:f>
              <c:strCache>
                <c:ptCount val="6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</c:strCache>
            </c:strRef>
          </c:cat>
          <c:val>
            <c:numRef>
              <c:f>Projections!$F$8:$F$68</c:f>
              <c:numCache>
                <c:formatCode>\₹#,##0;"(₹"#,##0\);\-</c:formatCode>
                <c:ptCount val="61"/>
                <c:pt idx="0">
                  <c:v>74171859.8872462</c:v>
                </c:pt>
                <c:pt idx="1">
                  <c:v>74171859.8872462</c:v>
                </c:pt>
                <c:pt idx="2">
                  <c:v>74171859.8872462</c:v>
                </c:pt>
                <c:pt idx="3">
                  <c:v>74171859.8872462</c:v>
                </c:pt>
                <c:pt idx="4">
                  <c:v>74171859.8872462</c:v>
                </c:pt>
                <c:pt idx="5">
                  <c:v>74171859.8872462</c:v>
                </c:pt>
                <c:pt idx="6">
                  <c:v>74171859.8872462</c:v>
                </c:pt>
                <c:pt idx="7">
                  <c:v>74171859.8872462</c:v>
                </c:pt>
                <c:pt idx="8">
                  <c:v>74171859.8872462</c:v>
                </c:pt>
                <c:pt idx="9">
                  <c:v>74171859.8872462</c:v>
                </c:pt>
                <c:pt idx="10">
                  <c:v>74171859.8872462</c:v>
                </c:pt>
                <c:pt idx="11">
                  <c:v>74171859.8872462</c:v>
                </c:pt>
                <c:pt idx="12">
                  <c:v>74171859.8872462</c:v>
                </c:pt>
                <c:pt idx="13">
                  <c:v>74171859.8872462</c:v>
                </c:pt>
                <c:pt idx="14">
                  <c:v>74171859.8872462</c:v>
                </c:pt>
                <c:pt idx="15">
                  <c:v>74171859.8872462</c:v>
                </c:pt>
                <c:pt idx="16">
                  <c:v>74171859.8872462</c:v>
                </c:pt>
                <c:pt idx="17">
                  <c:v>74171859.8872462</c:v>
                </c:pt>
                <c:pt idx="18">
                  <c:v>74171859.8872462</c:v>
                </c:pt>
                <c:pt idx="19">
                  <c:v>74171859.8872462</c:v>
                </c:pt>
                <c:pt idx="20">
                  <c:v>74171859.8872462</c:v>
                </c:pt>
                <c:pt idx="21">
                  <c:v>74171859.8872462</c:v>
                </c:pt>
                <c:pt idx="22">
                  <c:v>74171859.8872462</c:v>
                </c:pt>
                <c:pt idx="23">
                  <c:v>74171859.8872462</c:v>
                </c:pt>
                <c:pt idx="24">
                  <c:v>74171859.8872462</c:v>
                </c:pt>
                <c:pt idx="25">
                  <c:v>74171859.8872462</c:v>
                </c:pt>
                <c:pt idx="26">
                  <c:v>74171859.8872462</c:v>
                </c:pt>
                <c:pt idx="27">
                  <c:v>74171859.8872462</c:v>
                </c:pt>
                <c:pt idx="28">
                  <c:v>74171859.8872462</c:v>
                </c:pt>
                <c:pt idx="29">
                  <c:v>74171859.8872462</c:v>
                </c:pt>
                <c:pt idx="30">
                  <c:v>74171859.8872462</c:v>
                </c:pt>
                <c:pt idx="31">
                  <c:v>74171859.8872462</c:v>
                </c:pt>
                <c:pt idx="32">
                  <c:v>74171859.8872462</c:v>
                </c:pt>
                <c:pt idx="33">
                  <c:v>74171859.8872462</c:v>
                </c:pt>
                <c:pt idx="34">
                  <c:v>74171859.8872462</c:v>
                </c:pt>
                <c:pt idx="35">
                  <c:v>74171859.8872462</c:v>
                </c:pt>
                <c:pt idx="36">
                  <c:v>74171859.8872462</c:v>
                </c:pt>
                <c:pt idx="37">
                  <c:v>74171859.8872462</c:v>
                </c:pt>
                <c:pt idx="38">
                  <c:v>74171859.8872462</c:v>
                </c:pt>
                <c:pt idx="39">
                  <c:v>74171859.8872462</c:v>
                </c:pt>
                <c:pt idx="40">
                  <c:v>74171859.8872462</c:v>
                </c:pt>
                <c:pt idx="41">
                  <c:v>74171859.8872462</c:v>
                </c:pt>
                <c:pt idx="42">
                  <c:v>74171859.8872462</c:v>
                </c:pt>
                <c:pt idx="43">
                  <c:v>74171859.8872462</c:v>
                </c:pt>
                <c:pt idx="44">
                  <c:v>74171859.8872462</c:v>
                </c:pt>
                <c:pt idx="45">
                  <c:v>74171859.8872462</c:v>
                </c:pt>
                <c:pt idx="46">
                  <c:v>74171859.8872462</c:v>
                </c:pt>
                <c:pt idx="47">
                  <c:v>74171859.8872462</c:v>
                </c:pt>
                <c:pt idx="48">
                  <c:v>74171859.8872462</c:v>
                </c:pt>
                <c:pt idx="49">
                  <c:v>74171859.8872462</c:v>
                </c:pt>
                <c:pt idx="50">
                  <c:v>74171859.8872462</c:v>
                </c:pt>
                <c:pt idx="51">
                  <c:v>74171859.8872462</c:v>
                </c:pt>
                <c:pt idx="52">
                  <c:v>74171859.8872462</c:v>
                </c:pt>
                <c:pt idx="53">
                  <c:v>74171859.8872462</c:v>
                </c:pt>
                <c:pt idx="54">
                  <c:v>74171859.8872462</c:v>
                </c:pt>
                <c:pt idx="55">
                  <c:v>74171859.8872462</c:v>
                </c:pt>
                <c:pt idx="56">
                  <c:v>74171859.8872462</c:v>
                </c:pt>
                <c:pt idx="57">
                  <c:v>74171859.8872462</c:v>
                </c:pt>
                <c:pt idx="58">
                  <c:v>74171859.8872462</c:v>
                </c:pt>
                <c:pt idx="59">
                  <c:v>74171859.8872462</c:v>
                </c:pt>
                <c:pt idx="60">
                  <c:v>74171859.8872462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587667"/>
        <c:axId val="75284879"/>
      </c:lineChart>
      <c:catAx>
        <c:axId val="435876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4879"/>
        <c:crosses val="autoZero"/>
        <c:auto val="1"/>
        <c:lblAlgn val="ctr"/>
        <c:lblOffset val="100"/>
        <c:noMultiLvlLbl val="0"/>
      </c:catAx>
      <c:valAx>
        <c:axId val="75284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Corpus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87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69</xdr:row>
      <xdr:rowOff>0</xdr:rowOff>
    </xdr:from>
    <xdr:to>
      <xdr:col>7</xdr:col>
      <xdr:colOff>729000</xdr:colOff>
      <xdr:row>94</xdr:row>
      <xdr:rowOff>85680</xdr:rowOff>
    </xdr:to>
    <xdr:graphicFrame>
      <xdr:nvGraphicFramePr>
        <xdr:cNvPr id="0" name="Chart 1"/>
        <xdr:cNvGraphicFramePr/>
      </xdr:nvGraphicFramePr>
      <xdr:xfrm>
        <a:off x="0" y="15773400"/>
        <a:ext cx="7925400" cy="50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18.03"/>
    <col collapsed="false" customWidth="true" hidden="false" outlineLevel="0" max="7" min="3" style="1" width="16.01"/>
    <col collapsed="false" customWidth="true" hidden="false" outlineLevel="0" max="8" min="8" style="1" width="2.02"/>
  </cols>
  <sheetData>
    <row r="1" customFormat="false" ht="18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B3" s="2"/>
      <c r="C3" s="2"/>
      <c r="D3" s="2"/>
      <c r="E3" s="2"/>
      <c r="F3" s="2"/>
      <c r="G3" s="2"/>
    </row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7.5" hidden="false" customHeight="true" outlineLevel="0" collapsed="false"/>
    <row r="6" customFormat="false" ht="21.75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customFormat="false" ht="27.75" hidden="false" customHeight="true" outlineLevel="0" collapsed="false">
      <c r="B7" s="5" t="n">
        <f aca="false">Profile!C30</f>
        <v>74171859.8872462</v>
      </c>
      <c r="C7" s="5" t="n">
        <f aca="false">Profile!C33</f>
        <v>2860000</v>
      </c>
      <c r="D7" s="6" t="n">
        <f aca="false">Profile!C35</f>
        <v>33</v>
      </c>
      <c r="E7" s="7" t="n">
        <f aca="false">Profile!C36</f>
        <v>63</v>
      </c>
      <c r="F7" s="5" t="n">
        <f aca="false">'Income &amp; Spend'!G5</f>
        <v>-41540.6869353942</v>
      </c>
      <c r="G7" s="8" t="n">
        <f aca="false">IF(Profile!C30&gt;0,MIN(1,Investments!B38/Profile!C30),0)</f>
        <v>0.0102464735434075</v>
      </c>
    </row>
    <row r="8" customFormat="false" ht="15.75" hidden="false" customHeight="true" outlineLevel="0" collapsed="false"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10" t="s">
        <v>14</v>
      </c>
      <c r="C10" s="10"/>
      <c r="D10" s="10"/>
      <c r="E10" s="10" t="s">
        <v>15</v>
      </c>
      <c r="F10" s="10"/>
      <c r="G10" s="10"/>
    </row>
    <row r="11" customFormat="false" ht="18.75" hidden="false" customHeight="true" outlineLevel="0" collapsed="false">
      <c r="B11" s="11" t="s">
        <v>16</v>
      </c>
      <c r="C11" s="12" t="str">
        <f aca="false">'Income &amp; Spend'!G3</f>
        <v>TOTAL</v>
      </c>
      <c r="D11" s="13"/>
      <c r="E11" s="11" t="s">
        <v>17</v>
      </c>
      <c r="F11" s="12" t="n">
        <f aca="false">Investments!B38</f>
        <v>760000</v>
      </c>
      <c r="G11" s="13"/>
    </row>
    <row r="12" customFormat="false" ht="18.75" hidden="false" customHeight="true" outlineLevel="0" collapsed="false">
      <c r="B12" s="14" t="s">
        <v>18</v>
      </c>
      <c r="C12" s="15" t="str">
        <f aca="false">'Income &amp; Spend'!G4</f>
        <v>Surplus → Dashboard</v>
      </c>
      <c r="D12" s="16"/>
      <c r="E12" s="14" t="s">
        <v>19</v>
      </c>
      <c r="F12" s="15" t="n">
        <f aca="false">IF('Assets &amp; Liabilities'!C4="Own",'Assets &amp; Liabilities'!C6,0)</f>
        <v>8000000</v>
      </c>
      <c r="G12" s="16"/>
    </row>
    <row r="13" customFormat="false" ht="18.75" hidden="false" customHeight="true" outlineLevel="0" collapsed="false">
      <c r="B13" s="11" t="s">
        <v>20</v>
      </c>
      <c r="C13" s="12" t="n">
        <f aca="false">'Assets &amp; Liabilities'!B42</f>
        <v>67540.6869353942</v>
      </c>
      <c r="D13" s="13"/>
      <c r="E13" s="11" t="s">
        <v>21</v>
      </c>
      <c r="F13" s="12" t="n">
        <f aca="false">'Assets &amp; Liabilities'!B20</f>
        <v>1000000</v>
      </c>
      <c r="G13" s="13"/>
    </row>
    <row r="14" customFormat="false" ht="18.75" hidden="false" customHeight="true" outlineLevel="0" collapsed="false">
      <c r="B14" s="14" t="s">
        <v>22</v>
      </c>
      <c r="C14" s="15" t="n">
        <f aca="false">Investments!B36</f>
        <v>28000</v>
      </c>
      <c r="D14" s="16"/>
      <c r="E14" s="14" t="s">
        <v>23</v>
      </c>
      <c r="F14" s="17" t="n">
        <f aca="false">'Assets &amp; Liabilities'!B43</f>
        <v>6900000</v>
      </c>
      <c r="G14" s="16"/>
    </row>
    <row r="15" customFormat="false" ht="18.75" hidden="false" customHeight="true" outlineLevel="0" collapsed="false">
      <c r="B15" s="11" t="s">
        <v>24</v>
      </c>
      <c r="C15" s="18" t="n">
        <f aca="false">'Income &amp; Spend'!G5</f>
        <v>-41540.6869353942</v>
      </c>
      <c r="D15" s="13"/>
      <c r="E15" s="11" t="s">
        <v>25</v>
      </c>
      <c r="F15" s="18" t="n">
        <f aca="false">Profile!C33</f>
        <v>2860000</v>
      </c>
      <c r="G15" s="13"/>
    </row>
    <row r="16" customFormat="false" ht="7.5" hidden="false" customHeight="true" outlineLevel="0" collapsed="false"/>
    <row r="17" customFormat="false" ht="18" hidden="false" customHeight="true" outlineLevel="0" collapsed="false">
      <c r="B17" s="10" t="s">
        <v>26</v>
      </c>
      <c r="C17" s="10"/>
      <c r="D17" s="10"/>
      <c r="E17" s="10" t="s">
        <v>27</v>
      </c>
      <c r="F17" s="10"/>
      <c r="G17" s="10"/>
    </row>
    <row r="18" customFormat="false" ht="18.75" hidden="false" customHeight="true" outlineLevel="0" collapsed="false">
      <c r="B18" s="11" t="s">
        <v>28</v>
      </c>
      <c r="C18" s="12" t="n">
        <f aca="false">'Income &amp; Spend'!H4</f>
        <v>46500</v>
      </c>
      <c r="D18" s="13"/>
      <c r="E18" s="11" t="s">
        <v>29</v>
      </c>
      <c r="F18" s="12" t="str">
        <f aca="false">'Life Events'!E4</f>
        <v>Today Cost (₹)</v>
      </c>
      <c r="G18" s="13"/>
    </row>
    <row r="19" customFormat="false" ht="18.75" hidden="false" customHeight="true" outlineLevel="0" collapsed="false">
      <c r="B19" s="14" t="s">
        <v>30</v>
      </c>
      <c r="C19" s="15" t="n">
        <f aca="false">'Income &amp; Spend'!G12</f>
        <v>0</v>
      </c>
      <c r="D19" s="16"/>
      <c r="E19" s="14" t="s">
        <v>31</v>
      </c>
      <c r="F19" s="15" t="n">
        <f aca="false">'Life Events'!E15</f>
        <v>7563998.75521898</v>
      </c>
      <c r="G19" s="16"/>
    </row>
    <row r="20" customFormat="false" ht="18.75" hidden="false" customHeight="true" outlineLevel="0" collapsed="false">
      <c r="B20" s="11" t="s">
        <v>32</v>
      </c>
      <c r="C20" s="12" t="n">
        <f aca="false">MAX(0,'📊 Dashboard'!C18-'📊 Dashboard'!C19)</f>
        <v>46500</v>
      </c>
      <c r="D20" s="13"/>
      <c r="E20" s="11" t="s">
        <v>33</v>
      </c>
      <c r="F20" s="12" t="n">
        <f aca="false">'Life Events'!E28</f>
        <v>20182921.294658</v>
      </c>
      <c r="G20" s="13"/>
    </row>
    <row r="21" customFormat="false" ht="18.75" hidden="false" customHeight="true" outlineLevel="0" collapsed="false">
      <c r="B21" s="14" t="s">
        <v>34</v>
      </c>
      <c r="C21" s="15" t="n">
        <f aca="false">'📊 Dashboard'!C20*12</f>
        <v>558000</v>
      </c>
      <c r="D21" s="16"/>
      <c r="E21" s="14" t="s">
        <v>35</v>
      </c>
      <c r="F21" s="19" t="n">
        <f aca="false">'Life Events'!E30</f>
        <v>29432320.049877</v>
      </c>
      <c r="G21" s="16"/>
    </row>
    <row r="22" customFormat="false" ht="18.75" hidden="false" customHeight="true" outlineLevel="0" collapsed="false">
      <c r="B22" s="11" t="s">
        <v>36</v>
      </c>
      <c r="C22" s="20" t="n">
        <f aca="false">Profile!C30</f>
        <v>74171859.8872462</v>
      </c>
      <c r="D22" s="13"/>
      <c r="E22" s="11" t="s">
        <v>37</v>
      </c>
      <c r="F22" s="20" t="str">
        <f aca="false">Profile!B31</f>
        <v>Adjusted Freedom Number</v>
      </c>
      <c r="G22" s="13"/>
    </row>
    <row r="23" customFormat="false" ht="7.5" hidden="false" customHeight="true" outlineLevel="0" collapsed="false"/>
    <row r="24" customFormat="false" ht="18" hidden="false" customHeight="true" outlineLevel="0" collapsed="false">
      <c r="B24" s="21" t="s">
        <v>38</v>
      </c>
      <c r="C24" s="21"/>
      <c r="D24" s="21"/>
      <c r="E24" s="21"/>
      <c r="F24" s="21"/>
      <c r="G24" s="21"/>
    </row>
    <row r="25" customFormat="false" ht="18" hidden="false" customHeight="true" outlineLevel="0" collapsed="false">
      <c r="B25" s="22" t="s">
        <v>39</v>
      </c>
      <c r="C25" s="23" t="s">
        <v>40</v>
      </c>
      <c r="D25" s="23"/>
      <c r="E25" s="23"/>
      <c r="F25" s="23"/>
      <c r="G25" s="23"/>
    </row>
    <row r="26" customFormat="false" ht="18" hidden="false" customHeight="true" outlineLevel="0" collapsed="false">
      <c r="B26" s="24" t="s">
        <v>41</v>
      </c>
      <c r="C26" s="25" t="s">
        <v>42</v>
      </c>
      <c r="D26" s="25"/>
      <c r="E26" s="25"/>
      <c r="F26" s="25"/>
      <c r="G26" s="25"/>
    </row>
    <row r="27" customFormat="false" ht="18" hidden="false" customHeight="true" outlineLevel="0" collapsed="false">
      <c r="B27" s="22" t="s">
        <v>43</v>
      </c>
      <c r="C27" s="23" t="s">
        <v>44</v>
      </c>
      <c r="D27" s="23"/>
      <c r="E27" s="23"/>
      <c r="F27" s="23"/>
      <c r="G27" s="23"/>
    </row>
    <row r="28" customFormat="false" ht="18" hidden="false" customHeight="true" outlineLevel="0" collapsed="false">
      <c r="B28" s="24" t="s">
        <v>45</v>
      </c>
      <c r="C28" s="25" t="s">
        <v>46</v>
      </c>
      <c r="D28" s="25"/>
      <c r="E28" s="25"/>
      <c r="F28" s="25"/>
      <c r="G28" s="25"/>
    </row>
    <row r="29" customFormat="false" ht="18" hidden="false" customHeight="true" outlineLevel="0" collapsed="false">
      <c r="B29" s="22" t="s">
        <v>47</v>
      </c>
      <c r="C29" s="23" t="s">
        <v>48</v>
      </c>
      <c r="D29" s="23"/>
      <c r="E29" s="23"/>
      <c r="F29" s="23"/>
      <c r="G29" s="23"/>
    </row>
    <row r="30" customFormat="false" ht="18" hidden="false" customHeight="true" outlineLevel="0" collapsed="false">
      <c r="B30" s="24" t="s">
        <v>49</v>
      </c>
      <c r="C30" s="25" t="s">
        <v>50</v>
      </c>
      <c r="D30" s="25"/>
      <c r="E30" s="25"/>
      <c r="F30" s="25"/>
      <c r="G30" s="25"/>
    </row>
    <row r="31" customFormat="false" ht="18" hidden="false" customHeight="true" outlineLevel="0" collapsed="false"/>
    <row r="32" customFormat="false" ht="7.5" hidden="false" customHeight="true" outlineLevel="0" collapsed="false"/>
    <row r="33" customFormat="false" ht="18" hidden="false" customHeight="true" outlineLevel="0" collapsed="false">
      <c r="B33" s="26" t="s">
        <v>51</v>
      </c>
      <c r="C33" s="26"/>
      <c r="D33" s="26"/>
      <c r="E33" s="26"/>
    </row>
    <row r="34" customFormat="false" ht="16.5" hidden="false" customHeight="true" outlineLevel="0" collapsed="false">
      <c r="B34" s="27" t="s">
        <v>52</v>
      </c>
      <c r="C34" s="28" t="s">
        <v>53</v>
      </c>
      <c r="D34" s="28"/>
      <c r="E34" s="28"/>
      <c r="F34" s="28"/>
    </row>
    <row r="35" customFormat="false" ht="16.5" hidden="false" customHeight="true" outlineLevel="0" collapsed="false">
      <c r="B35" s="29" t="s">
        <v>54</v>
      </c>
      <c r="C35" s="28" t="s">
        <v>55</v>
      </c>
      <c r="D35" s="28"/>
      <c r="E35" s="28"/>
      <c r="F35" s="28"/>
    </row>
    <row r="36" customFormat="false" ht="16.5" hidden="false" customHeight="true" outlineLevel="0" collapsed="false">
      <c r="B36" s="30" t="s">
        <v>56</v>
      </c>
      <c r="C36" s="28" t="s">
        <v>57</v>
      </c>
      <c r="D36" s="28"/>
      <c r="E36" s="28"/>
      <c r="F36" s="28"/>
    </row>
    <row r="37" customFormat="false" ht="16.5" hidden="false" customHeight="true" outlineLevel="0" collapsed="false">
      <c r="B37" s="31" t="s">
        <v>58</v>
      </c>
      <c r="C37" s="32" t="s">
        <v>59</v>
      </c>
      <c r="D37" s="32"/>
      <c r="E37" s="32"/>
      <c r="F37" s="32"/>
    </row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8">
    <mergeCell ref="B1:G3"/>
    <mergeCell ref="B4:G4"/>
    <mergeCell ref="B10:D10"/>
    <mergeCell ref="E10:G10"/>
    <mergeCell ref="B17:D17"/>
    <mergeCell ref="E17:G17"/>
    <mergeCell ref="B24:G24"/>
    <mergeCell ref="C25:G25"/>
    <mergeCell ref="C26:G26"/>
    <mergeCell ref="C27:G27"/>
    <mergeCell ref="C28:G28"/>
    <mergeCell ref="C29:G29"/>
    <mergeCell ref="C30:G30"/>
    <mergeCell ref="B33:E33"/>
    <mergeCell ref="C34:F34"/>
    <mergeCell ref="C35:F35"/>
    <mergeCell ref="C36:F36"/>
    <mergeCell ref="C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9"/>
  <sheetViews>
    <sheetView showFormulas="false" showGridLines="false" showRowColHeaders="true" showZeros="true" rightToLeft="false" tabSelected="false" showOutlineSymbols="true" defaultGridColor="true" view="normal" topLeftCell="D10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27.98"/>
    <col collapsed="false" customWidth="true" hidden="false" outlineLevel="0" max="3" min="3" style="1" width="20.05"/>
    <col collapsed="false" customWidth="true" hidden="false" outlineLevel="0" max="4" min="4" style="1" width="27.98"/>
    <col collapsed="false" customWidth="true" hidden="false" outlineLevel="0" max="5" min="5" style="1" width="20.05"/>
    <col collapsed="false" customWidth="true" hidden="false" outlineLevel="0" max="6" min="6" style="1" width="2.02"/>
  </cols>
  <sheetData>
    <row r="1" customFormat="false" ht="18.75" hidden="false" customHeight="true" outlineLevel="0" collapsed="false">
      <c r="B1" s="33" t="s">
        <v>60</v>
      </c>
      <c r="C1" s="33"/>
      <c r="D1" s="33"/>
      <c r="E1" s="33"/>
    </row>
    <row r="2" customFormat="false" ht="18.75" hidden="false" customHeight="true" outlineLevel="0" collapsed="false">
      <c r="B2" s="33"/>
      <c r="C2" s="33"/>
      <c r="D2" s="33"/>
      <c r="E2" s="33"/>
    </row>
    <row r="3" customFormat="false" ht="18.75" hidden="false" customHeight="true" outlineLevel="0" collapsed="false">
      <c r="B3" s="10" t="s">
        <v>61</v>
      </c>
      <c r="C3" s="10"/>
      <c r="D3" s="10"/>
      <c r="E3" s="10"/>
    </row>
    <row r="4" customFormat="false" ht="18.75" hidden="false" customHeight="true" outlineLevel="0" collapsed="false">
      <c r="B4" s="28" t="s">
        <v>62</v>
      </c>
      <c r="C4" s="34" t="n">
        <v>30</v>
      </c>
      <c r="D4" s="35" t="s">
        <v>63</v>
      </c>
      <c r="E4" s="35"/>
    </row>
    <row r="5" customFormat="false" ht="18.75" hidden="false" customHeight="true" outlineLevel="0" collapsed="false">
      <c r="B5" s="28" t="s">
        <v>64</v>
      </c>
      <c r="C5" s="34" t="n">
        <v>50</v>
      </c>
      <c r="D5" s="35" t="s">
        <v>65</v>
      </c>
      <c r="E5" s="35"/>
    </row>
    <row r="6" customFormat="false" ht="18.75" hidden="false" customHeight="true" outlineLevel="0" collapsed="false">
      <c r="B6" s="28" t="s">
        <v>66</v>
      </c>
      <c r="C6" s="34" t="n">
        <v>85</v>
      </c>
      <c r="D6" s="35" t="s">
        <v>67</v>
      </c>
      <c r="E6" s="35"/>
    </row>
    <row r="7" customFormat="false" ht="18.75" hidden="false" customHeight="true" outlineLevel="0" collapsed="false">
      <c r="B7" s="28" t="s">
        <v>68</v>
      </c>
      <c r="C7" s="36" t="n">
        <v>0.06</v>
      </c>
      <c r="D7" s="35" t="s">
        <v>69</v>
      </c>
      <c r="E7" s="35"/>
    </row>
    <row r="8" customFormat="false" ht="18.75" hidden="false" customHeight="true" outlineLevel="0" collapsed="false">
      <c r="B8" s="28" t="s">
        <v>70</v>
      </c>
      <c r="C8" s="36" t="n">
        <v>0.04</v>
      </c>
      <c r="D8" s="35" t="s">
        <v>71</v>
      </c>
      <c r="E8" s="35"/>
    </row>
    <row r="9" customFormat="false" ht="18.75" hidden="false" customHeight="true" outlineLevel="0" collapsed="false">
      <c r="B9" s="28" t="s">
        <v>72</v>
      </c>
      <c r="C9" s="37" t="s">
        <v>73</v>
      </c>
      <c r="D9" s="35" t="s">
        <v>74</v>
      </c>
      <c r="E9" s="35"/>
    </row>
    <row r="10" customFormat="false" ht="18.75" hidden="false" customHeight="true" outlineLevel="0" collapsed="false"/>
    <row r="11" customFormat="false" ht="18.75" hidden="false" customHeight="true" outlineLevel="0" collapsed="false">
      <c r="B11" s="10" t="s">
        <v>75</v>
      </c>
      <c r="C11" s="10"/>
      <c r="D11" s="10" t="s">
        <v>76</v>
      </c>
      <c r="E11" s="10"/>
    </row>
    <row r="12" customFormat="false" ht="18.75" hidden="false" customHeight="true" outlineLevel="0" collapsed="false">
      <c r="B12" s="28" t="s">
        <v>77</v>
      </c>
      <c r="C12" s="37" t="s">
        <v>78</v>
      </c>
      <c r="D12" s="28" t="s">
        <v>79</v>
      </c>
      <c r="E12" s="37" t="s">
        <v>78</v>
      </c>
    </row>
    <row r="13" customFormat="false" ht="18.75" hidden="false" customHeight="true" outlineLevel="0" collapsed="false">
      <c r="B13" s="28" t="s">
        <v>80</v>
      </c>
      <c r="C13" s="37" t="s">
        <v>81</v>
      </c>
      <c r="D13" s="28" t="s">
        <v>82</v>
      </c>
      <c r="E13" s="37" t="s">
        <v>83</v>
      </c>
    </row>
    <row r="14" customFormat="false" ht="18.75" hidden="false" customHeight="true" outlineLevel="0" collapsed="false"/>
    <row r="15" customFormat="false" ht="18.75" hidden="false" customHeight="true" outlineLevel="0" collapsed="false">
      <c r="B15" s="38" t="s">
        <v>84</v>
      </c>
      <c r="C15" s="38"/>
      <c r="D15" s="38"/>
      <c r="E15" s="38"/>
    </row>
    <row r="16" customFormat="false" ht="18.75" hidden="false" customHeight="true" outlineLevel="0" collapsed="false">
      <c r="B16" s="11" t="s">
        <v>85</v>
      </c>
      <c r="C16" s="39" t="n">
        <f aca="false">C5-C4</f>
        <v>20</v>
      </c>
      <c r="D16" s="40"/>
      <c r="E16" s="40"/>
    </row>
    <row r="17" customFormat="false" ht="18.75" hidden="false" customHeight="true" outlineLevel="0" collapsed="false">
      <c r="B17" s="11" t="s">
        <v>86</v>
      </c>
      <c r="C17" s="39" t="n">
        <f aca="false">C6-C5</f>
        <v>35</v>
      </c>
      <c r="D17" s="40"/>
      <c r="E17" s="40"/>
    </row>
    <row r="18" customFormat="false" ht="18.75" hidden="false" customHeight="true" outlineLevel="0" collapsed="false">
      <c r="B18" s="11" t="s">
        <v>87</v>
      </c>
      <c r="C18" s="41" t="n">
        <f aca="false">POWER(1+C7,C16)</f>
        <v>3.20713547221285</v>
      </c>
      <c r="D18" s="40"/>
      <c r="E18" s="40"/>
    </row>
    <row r="19" customFormat="false" ht="18.75" hidden="false" customHeight="true" outlineLevel="0" collapsed="false"/>
    <row r="20" customFormat="false" ht="18.75" hidden="false" customHeight="true" outlineLevel="0" collapsed="false">
      <c r="B20" s="10" t="s">
        <v>88</v>
      </c>
      <c r="C20" s="10"/>
      <c r="D20" s="10"/>
      <c r="E20" s="10"/>
    </row>
    <row r="21" customFormat="false" ht="18.75" hidden="false" customHeight="true" outlineLevel="0" collapsed="false">
      <c r="B21" s="14" t="s">
        <v>89</v>
      </c>
      <c r="C21" s="42" t="n">
        <f aca="false">'Income &amp; Spend'!H4</f>
        <v>46500</v>
      </c>
      <c r="D21" s="40"/>
      <c r="E21" s="40"/>
    </row>
    <row r="22" customFormat="false" ht="18.75" hidden="false" customHeight="true" outlineLevel="0" collapsed="false">
      <c r="B22" s="11" t="s">
        <v>90</v>
      </c>
      <c r="C22" s="43" t="n">
        <f aca="false">'Income &amp; Spend'!H12</f>
        <v>0</v>
      </c>
      <c r="D22" s="40"/>
      <c r="E22" s="40"/>
    </row>
    <row r="23" customFormat="false" ht="18.75" hidden="false" customHeight="true" outlineLevel="0" collapsed="false">
      <c r="B23" s="14" t="s">
        <v>32</v>
      </c>
      <c r="C23" s="42" t="n">
        <f aca="false">MAX(0,C21-C22)</f>
        <v>46500</v>
      </c>
      <c r="D23" s="40"/>
      <c r="E23" s="40"/>
    </row>
    <row r="24" customFormat="false" ht="18.75" hidden="false" customHeight="true" outlineLevel="0" collapsed="false">
      <c r="B24" s="11" t="s">
        <v>34</v>
      </c>
      <c r="C24" s="43" t="n">
        <f aca="false">C23*12</f>
        <v>558000</v>
      </c>
      <c r="D24" s="40"/>
      <c r="E24" s="40"/>
    </row>
    <row r="25" customFormat="false" ht="18.75" hidden="false" customHeight="true" outlineLevel="0" collapsed="false">
      <c r="B25" s="14" t="s">
        <v>91</v>
      </c>
      <c r="C25" s="42" t="n">
        <f aca="false">C24*C18</f>
        <v>1789581.59349477</v>
      </c>
      <c r="D25" s="40"/>
      <c r="E25" s="40"/>
    </row>
    <row r="26" customFormat="false" ht="18.75" hidden="false" customHeight="true" outlineLevel="0" collapsed="false">
      <c r="B26" s="11" t="s">
        <v>92</v>
      </c>
      <c r="C26" s="43" t="n">
        <f aca="false">C25/C8</f>
        <v>44739539.8373692</v>
      </c>
      <c r="D26" s="40"/>
      <c r="E26" s="40"/>
    </row>
    <row r="27" customFormat="false" ht="18.75" hidden="false" customHeight="true" outlineLevel="0" collapsed="false">
      <c r="B27" s="44" t="s">
        <v>93</v>
      </c>
      <c r="C27" s="44"/>
    </row>
    <row r="28" customFormat="false" ht="18.75" hidden="false" customHeight="true" outlineLevel="0" collapsed="false">
      <c r="B28" s="11" t="s">
        <v>94</v>
      </c>
      <c r="C28" s="45" t="n">
        <f aca="false">'Life Events'!E30</f>
        <v>29432320.049877</v>
      </c>
    </row>
    <row r="29" customFormat="false" ht="18.75" hidden="false" customHeight="true" outlineLevel="0" collapsed="false">
      <c r="B29" s="46" t="s">
        <v>95</v>
      </c>
      <c r="C29" s="46"/>
      <c r="D29" s="46"/>
      <c r="E29" s="46"/>
    </row>
    <row r="30" customFormat="false" ht="30" hidden="false" customHeight="true" outlineLevel="0" collapsed="false">
      <c r="B30" s="46" t="s">
        <v>96</v>
      </c>
      <c r="C30" s="47" t="n">
        <f aca="false">C26+C28</f>
        <v>74171859.8872462</v>
      </c>
      <c r="D30" s="48" t="s">
        <v>97</v>
      </c>
      <c r="E30" s="48"/>
    </row>
    <row r="31" customFormat="false" ht="24" hidden="false" customHeight="true" outlineLevel="0" collapsed="false">
      <c r="B31" s="49" t="s">
        <v>98</v>
      </c>
      <c r="C31" s="50" t="n">
        <f aca="false">C30</f>
        <v>74171859.8872462</v>
      </c>
      <c r="D31" s="51"/>
      <c r="E31" s="51"/>
    </row>
    <row r="32" customFormat="false" ht="21.75" hidden="false" customHeight="true" outlineLevel="0" collapsed="false">
      <c r="B32" s="52" t="s">
        <v>99</v>
      </c>
      <c r="C32" s="52"/>
      <c r="D32" s="52"/>
      <c r="E32" s="52"/>
    </row>
    <row r="33" customFormat="false" ht="25.5" hidden="false" customHeight="true" outlineLevel="0" collapsed="false">
      <c r="B33" s="53" t="s">
        <v>3</v>
      </c>
      <c r="C33" s="54" t="n">
        <f aca="false">Investments!B38+IF('Assets &amp; Liabilities'!C4="Own",'Assets &amp; Liabilities'!C6,0)+'Assets &amp; Liabilities'!B20-'Assets &amp; Liabilities'!B43</f>
        <v>2860000</v>
      </c>
      <c r="D33" s="55"/>
      <c r="E33" s="55"/>
    </row>
    <row r="34" customFormat="false" ht="21.75" hidden="false" customHeight="true" outlineLevel="0" collapsed="false">
      <c r="B34" s="56" t="s">
        <v>100</v>
      </c>
      <c r="C34" s="56"/>
    </row>
    <row r="35" customFormat="false" ht="25.5" hidden="false" customHeight="true" outlineLevel="0" collapsed="false">
      <c r="B35" s="56" t="s">
        <v>101</v>
      </c>
      <c r="C35" s="57" t="n">
        <f aca="false">Projections!B5</f>
        <v>33</v>
      </c>
      <c r="D35" s="58"/>
      <c r="E35" s="58"/>
    </row>
    <row r="36" customFormat="false" ht="25.5" hidden="false" customHeight="true" outlineLevel="0" collapsed="false">
      <c r="B36" s="56" t="s">
        <v>102</v>
      </c>
      <c r="C36" s="57" t="n">
        <f aca="false">IFERROR(Profile!C4+Profile!C35,"Beyond age "&amp;Profile!C6)</f>
        <v>63</v>
      </c>
      <c r="D36" s="58"/>
      <c r="E36" s="58"/>
    </row>
    <row r="37" customFormat="false" ht="18.75" hidden="false" customHeight="true" outlineLevel="0" collapsed="false"/>
    <row r="38" customFormat="false" ht="18.75" hidden="false" customHeight="true" outlineLevel="0" collapsed="false"/>
    <row r="39" customFormat="false" ht="18.75" hidden="false" customHeight="true" outlineLevel="0" collapsed="false"/>
    <row r="40" customFormat="false" ht="18.75" hidden="false" customHeight="true" outlineLevel="0" collapsed="false"/>
    <row r="41" customFormat="false" ht="18.75" hidden="false" customHeight="true" outlineLevel="0" collapsed="false"/>
    <row r="42" customFormat="false" ht="18.75" hidden="false" customHeight="true" outlineLevel="0" collapsed="false"/>
    <row r="43" customFormat="false" ht="18.75" hidden="false" customHeight="true" outlineLevel="0" collapsed="false"/>
    <row r="44" customFormat="false" ht="18.75" hidden="false" customHeight="true" outlineLevel="0" collapsed="false"/>
    <row r="45" customFormat="false" ht="18.75" hidden="false" customHeight="true" outlineLevel="0" collapsed="false"/>
    <row r="46" customFormat="false" ht="18.75" hidden="false" customHeight="true" outlineLevel="0" collapsed="false"/>
    <row r="47" customFormat="false" ht="18.75" hidden="false" customHeight="true" outlineLevel="0" collapsed="false"/>
    <row r="48" customFormat="false" ht="18.75" hidden="false" customHeight="true" outlineLevel="0" collapsed="false"/>
    <row r="49" customFormat="false" ht="18.75" hidden="false" customHeight="true" outlineLevel="0" collapsed="false"/>
  </sheetData>
  <mergeCells count="30">
    <mergeCell ref="B1:E2"/>
    <mergeCell ref="B3:E3"/>
    <mergeCell ref="D4:E4"/>
    <mergeCell ref="D5:E5"/>
    <mergeCell ref="D6:E6"/>
    <mergeCell ref="D7:E7"/>
    <mergeCell ref="D8:E8"/>
    <mergeCell ref="D9:E9"/>
    <mergeCell ref="B11:C11"/>
    <mergeCell ref="D11:E11"/>
    <mergeCell ref="B15:E15"/>
    <mergeCell ref="D16:E16"/>
    <mergeCell ref="D17:E17"/>
    <mergeCell ref="D18:E18"/>
    <mergeCell ref="B20:E20"/>
    <mergeCell ref="D21:E21"/>
    <mergeCell ref="D22:E22"/>
    <mergeCell ref="D23:E23"/>
    <mergeCell ref="D24:E24"/>
    <mergeCell ref="D25:E25"/>
    <mergeCell ref="D26:E26"/>
    <mergeCell ref="B27:C27"/>
    <mergeCell ref="B29:E29"/>
    <mergeCell ref="D30:E30"/>
    <mergeCell ref="D31:E31"/>
    <mergeCell ref="B32:E32"/>
    <mergeCell ref="D33:E33"/>
    <mergeCell ref="B34:C34"/>
    <mergeCell ref="D35:E35"/>
    <mergeCell ref="D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25.97"/>
    <col collapsed="false" customWidth="true" hidden="false" outlineLevel="0" max="3" min="3" style="1" width="18.03"/>
    <col collapsed="false" customWidth="true" hidden="false" outlineLevel="0" max="4" min="4" style="1" width="4.02"/>
    <col collapsed="false" customWidth="true" hidden="false" outlineLevel="0" max="5" min="5" style="1" width="25.97"/>
    <col collapsed="false" customWidth="true" hidden="false" outlineLevel="0" max="6" min="6" style="1" width="18.03"/>
    <col collapsed="false" customWidth="true" hidden="false" outlineLevel="0" max="7" min="7" style="1" width="4.02"/>
    <col collapsed="false" customWidth="true" hidden="false" outlineLevel="0" max="8" min="8" style="1" width="18.03"/>
    <col collapsed="false" customWidth="true" hidden="false" outlineLevel="0" max="9" min="9" style="1" width="2.02"/>
  </cols>
  <sheetData>
    <row r="1" customFormat="false" ht="18.75" hidden="false" customHeight="true" outlineLevel="0" collapsed="false">
      <c r="B1" s="33" t="s">
        <v>103</v>
      </c>
      <c r="C1" s="33"/>
      <c r="D1" s="33"/>
      <c r="E1" s="33"/>
      <c r="F1" s="33"/>
      <c r="G1" s="33"/>
      <c r="H1" s="33"/>
    </row>
    <row r="2" customFormat="false" ht="18.75" hidden="false" customHeight="true" outlineLevel="0" collapsed="false">
      <c r="B2" s="33"/>
      <c r="C2" s="33"/>
      <c r="D2" s="33"/>
      <c r="E2" s="33"/>
      <c r="F2" s="33"/>
      <c r="G2" s="33"/>
      <c r="H2" s="33"/>
    </row>
    <row r="3" customFormat="false" ht="18" hidden="false" customHeight="true" outlineLevel="0" collapsed="false">
      <c r="B3" s="10" t="s">
        <v>104</v>
      </c>
      <c r="C3" s="10"/>
      <c r="E3" s="10" t="s">
        <v>105</v>
      </c>
      <c r="F3" s="10"/>
      <c r="G3" s="59" t="s">
        <v>106</v>
      </c>
      <c r="H3" s="60" t="n">
        <f aca="false">C8</f>
        <v>100000</v>
      </c>
    </row>
    <row r="4" customFormat="false" ht="18.75" hidden="false" customHeight="true" outlineLevel="0" collapsed="false">
      <c r="B4" s="11" t="s">
        <v>107</v>
      </c>
      <c r="C4" s="61" t="n">
        <v>100000</v>
      </c>
      <c r="D4" s="13"/>
      <c r="E4" s="11" t="s">
        <v>108</v>
      </c>
      <c r="F4" s="61" t="n">
        <v>0</v>
      </c>
      <c r="G4" s="62" t="s">
        <v>109</v>
      </c>
      <c r="H4" s="63" t="n">
        <f aca="false">F20</f>
        <v>46500</v>
      </c>
    </row>
    <row r="5" customFormat="false" ht="18.75" hidden="false" customHeight="true" outlineLevel="0" collapsed="false">
      <c r="B5" s="14" t="s">
        <v>110</v>
      </c>
      <c r="C5" s="61" t="n">
        <v>0</v>
      </c>
      <c r="D5" s="16"/>
      <c r="E5" s="14" t="s">
        <v>111</v>
      </c>
      <c r="F5" s="61" t="n">
        <v>0</v>
      </c>
      <c r="G5" s="64" t="n">
        <f aca="false">C28</f>
        <v>-41540.6869353942</v>
      </c>
      <c r="H5" s="16"/>
    </row>
    <row r="6" customFormat="false" ht="18.75" hidden="false" customHeight="true" outlineLevel="0" collapsed="false">
      <c r="B6" s="11" t="s">
        <v>112</v>
      </c>
      <c r="C6" s="61" t="n">
        <v>0</v>
      </c>
      <c r="D6" s="13"/>
      <c r="E6" s="11" t="s">
        <v>113</v>
      </c>
      <c r="F6" s="61" t="n">
        <v>0</v>
      </c>
      <c r="G6" s="13"/>
      <c r="H6" s="13"/>
    </row>
    <row r="7" customFormat="false" ht="18.75" hidden="false" customHeight="true" outlineLevel="0" collapsed="false">
      <c r="B7" s="14" t="s">
        <v>114</v>
      </c>
      <c r="C7" s="61" t="n">
        <v>0</v>
      </c>
      <c r="D7" s="16"/>
      <c r="E7" s="14" t="s">
        <v>115</v>
      </c>
      <c r="F7" s="61" t="n">
        <v>0</v>
      </c>
      <c r="G7" s="16"/>
      <c r="H7" s="16"/>
    </row>
    <row r="8" customFormat="false" ht="18.75" hidden="false" customHeight="true" outlineLevel="0" collapsed="false">
      <c r="B8" s="65" t="s">
        <v>116</v>
      </c>
      <c r="C8" s="66" t="n">
        <f aca="false">SUM(C4:C7)</f>
        <v>100000</v>
      </c>
      <c r="E8" s="65" t="s">
        <v>117</v>
      </c>
      <c r="F8" s="66" t="n">
        <f aca="false">SUM(F4:F7)</f>
        <v>0</v>
      </c>
    </row>
    <row r="9" customFormat="false" ht="7.5" hidden="false" customHeight="true" outlineLevel="0" collapsed="false"/>
    <row r="10" customFormat="false" ht="18.75" hidden="false" customHeight="true" outlineLevel="0" collapsed="false">
      <c r="B10" s="67" t="s">
        <v>118</v>
      </c>
      <c r="C10" s="67"/>
      <c r="E10" s="67" t="s">
        <v>119</v>
      </c>
      <c r="F10" s="67"/>
    </row>
    <row r="11" customFormat="false" ht="18.75" hidden="false" customHeight="true" outlineLevel="0" collapsed="false">
      <c r="B11" s="68" t="s">
        <v>120</v>
      </c>
      <c r="C11" s="68" t="s">
        <v>121</v>
      </c>
      <c r="E11" s="68" t="s">
        <v>120</v>
      </c>
      <c r="F11" s="68" t="s">
        <v>121</v>
      </c>
      <c r="H11" s="68" t="s">
        <v>122</v>
      </c>
    </row>
    <row r="12" customFormat="false" ht="18.75" hidden="false" customHeight="true" outlineLevel="0" collapsed="false">
      <c r="B12" s="11" t="s">
        <v>123</v>
      </c>
      <c r="C12" s="61" t="n">
        <v>20000</v>
      </c>
      <c r="D12" s="13"/>
      <c r="E12" s="11" t="s">
        <v>124</v>
      </c>
      <c r="F12" s="61" t="n">
        <v>15000</v>
      </c>
      <c r="G12" s="18" t="n">
        <f aca="false">F8</f>
        <v>0</v>
      </c>
      <c r="H12" s="60" t="n">
        <f aca="false">F8</f>
        <v>0</v>
      </c>
    </row>
    <row r="13" customFormat="false" ht="18.75" hidden="false" customHeight="true" outlineLevel="0" collapsed="false">
      <c r="B13" s="14" t="s">
        <v>125</v>
      </c>
      <c r="C13" s="61" t="n">
        <v>10000</v>
      </c>
      <c r="D13" s="16"/>
      <c r="E13" s="14" t="s">
        <v>125</v>
      </c>
      <c r="F13" s="61" t="n">
        <v>10000</v>
      </c>
      <c r="G13" s="16"/>
      <c r="H13" s="42" t="n">
        <f aca="false">F13-C13</f>
        <v>0</v>
      </c>
    </row>
    <row r="14" customFormat="false" ht="18.75" hidden="false" customHeight="true" outlineLevel="0" collapsed="false">
      <c r="B14" s="11" t="s">
        <v>126</v>
      </c>
      <c r="C14" s="61" t="n">
        <v>5000</v>
      </c>
      <c r="D14" s="13"/>
      <c r="E14" s="11" t="s">
        <v>126</v>
      </c>
      <c r="F14" s="61" t="n">
        <v>3000</v>
      </c>
      <c r="G14" s="13"/>
      <c r="H14" s="43" t="n">
        <f aca="false">F14-C14</f>
        <v>-2000</v>
      </c>
    </row>
    <row r="15" customFormat="false" ht="18.75" hidden="false" customHeight="true" outlineLevel="0" collapsed="false">
      <c r="B15" s="14" t="s">
        <v>127</v>
      </c>
      <c r="C15" s="61" t="n">
        <v>3000</v>
      </c>
      <c r="D15" s="16"/>
      <c r="E15" s="14" t="s">
        <v>127</v>
      </c>
      <c r="F15" s="61" t="n">
        <v>2500</v>
      </c>
      <c r="G15" s="16"/>
      <c r="H15" s="42" t="n">
        <f aca="false">F15-C15</f>
        <v>-500</v>
      </c>
    </row>
    <row r="16" customFormat="false" ht="18.75" hidden="false" customHeight="true" outlineLevel="0" collapsed="false">
      <c r="B16" s="11" t="s">
        <v>128</v>
      </c>
      <c r="C16" s="61" t="n">
        <v>3000</v>
      </c>
      <c r="D16" s="13"/>
      <c r="E16" s="11" t="s">
        <v>128</v>
      </c>
      <c r="F16" s="61" t="n">
        <v>5000</v>
      </c>
      <c r="G16" s="13"/>
      <c r="H16" s="43" t="n">
        <f aca="false">F16-C16</f>
        <v>2000</v>
      </c>
    </row>
    <row r="17" customFormat="false" ht="18.75" hidden="false" customHeight="true" outlineLevel="0" collapsed="false">
      <c r="B17" s="14" t="s">
        <v>129</v>
      </c>
      <c r="C17" s="61" t="n">
        <v>5000</v>
      </c>
      <c r="D17" s="16"/>
      <c r="E17" s="14" t="s">
        <v>130</v>
      </c>
      <c r="F17" s="61" t="n">
        <v>8000</v>
      </c>
      <c r="G17" s="16"/>
      <c r="H17" s="42" t="n">
        <f aca="false">F17-C17</f>
        <v>3000</v>
      </c>
    </row>
    <row r="18" customFormat="false" ht="18.75" hidden="false" customHeight="true" outlineLevel="0" collapsed="false">
      <c r="B18" s="11" t="s">
        <v>131</v>
      </c>
      <c r="C18" s="61" t="n">
        <v>0</v>
      </c>
      <c r="D18" s="13"/>
      <c r="E18" s="11" t="s">
        <v>132</v>
      </c>
      <c r="F18" s="61" t="n">
        <v>3000</v>
      </c>
      <c r="G18" s="13"/>
      <c r="H18" s="43" t="n">
        <f aca="false">F18-C18</f>
        <v>3000</v>
      </c>
    </row>
    <row r="19" customFormat="false" ht="18.75" hidden="false" customHeight="true" outlineLevel="0" collapsed="false">
      <c r="B19" s="14" t="s">
        <v>133</v>
      </c>
      <c r="C19" s="61" t="n">
        <v>0</v>
      </c>
      <c r="D19" s="16"/>
      <c r="E19" s="14" t="s">
        <v>133</v>
      </c>
      <c r="F19" s="61" t="n">
        <v>0</v>
      </c>
      <c r="G19" s="16"/>
      <c r="H19" s="42" t="n">
        <f aca="false">F19-C19</f>
        <v>0</v>
      </c>
    </row>
    <row r="20" customFormat="false" ht="18.75" hidden="false" customHeight="true" outlineLevel="0" collapsed="false">
      <c r="B20" s="69" t="s">
        <v>134</v>
      </c>
      <c r="C20" s="70" t="n">
        <f aca="false">SUM(C12:C19)</f>
        <v>46000</v>
      </c>
      <c r="E20" s="69" t="s">
        <v>135</v>
      </c>
      <c r="F20" s="70" t="n">
        <f aca="false">SUM(F12:F19)</f>
        <v>46500</v>
      </c>
    </row>
    <row r="21" customFormat="false" ht="18.75" hidden="false" customHeight="true" outlineLevel="0" collapsed="false"/>
    <row r="22" customFormat="false" ht="7.5" hidden="false" customHeight="true" outlineLevel="0" collapsed="false"/>
    <row r="23" customFormat="false" ht="18.75" hidden="false" customHeight="true" outlineLevel="0" collapsed="false"/>
    <row r="24" customFormat="false" ht="18.75" hidden="false" customHeight="true" outlineLevel="0" collapsed="false">
      <c r="B24" s="11" t="s">
        <v>136</v>
      </c>
      <c r="C24" s="43" t="n">
        <f aca="false">C8</f>
        <v>100000</v>
      </c>
      <c r="D24" s="13"/>
      <c r="E24" s="71" t="s">
        <v>137</v>
      </c>
      <c r="F24" s="43" t="n">
        <f aca="false">F8</f>
        <v>0</v>
      </c>
    </row>
    <row r="25" customFormat="false" ht="18.75" hidden="false" customHeight="true" outlineLevel="0" collapsed="false">
      <c r="B25" s="14" t="s">
        <v>138</v>
      </c>
      <c r="C25" s="42" t="n">
        <f aca="false">C20</f>
        <v>46000</v>
      </c>
      <c r="D25" s="16"/>
      <c r="E25" s="16"/>
      <c r="F25" s="42" t="n">
        <f aca="false">F20</f>
        <v>46500</v>
      </c>
    </row>
    <row r="26" customFormat="false" ht="18.75" hidden="false" customHeight="true" outlineLevel="0" collapsed="false">
      <c r="B26" s="11" t="s">
        <v>139</v>
      </c>
      <c r="C26" s="43" t="n">
        <f aca="false">'Assets &amp; Liabilities'!B42</f>
        <v>67540.6869353942</v>
      </c>
      <c r="D26" s="13"/>
      <c r="E26" s="13"/>
      <c r="F26" s="43" t="n">
        <f aca="false">0</f>
        <v>0</v>
      </c>
    </row>
    <row r="27" customFormat="false" ht="18.75" hidden="false" customHeight="true" outlineLevel="0" collapsed="false">
      <c r="B27" s="14" t="s">
        <v>140</v>
      </c>
      <c r="C27" s="42" t="n">
        <f aca="false">Investments!B36</f>
        <v>28000</v>
      </c>
      <c r="D27" s="16"/>
      <c r="E27" s="16"/>
      <c r="F27" s="42" t="n">
        <f aca="false">0</f>
        <v>0</v>
      </c>
    </row>
    <row r="28" customFormat="false" ht="18.75" hidden="false" customHeight="true" outlineLevel="0" collapsed="false">
      <c r="B28" s="72" t="s">
        <v>141</v>
      </c>
      <c r="C28" s="73" t="n">
        <f aca="false">C24-C25-C26-C27</f>
        <v>-41540.6869353942</v>
      </c>
      <c r="D28" s="74"/>
      <c r="E28" s="74"/>
      <c r="F28" s="73" t="n">
        <f aca="false">F24-F25</f>
        <v>-46500</v>
      </c>
    </row>
    <row r="29" customFormat="false" ht="18.75" hidden="false" customHeight="true" outlineLevel="0" collapsed="false"/>
    <row r="30" customFormat="false" ht="18.75" hidden="false" customHeight="true" outlineLevel="0" collapsed="false"/>
    <row r="31" customFormat="false" ht="18.75" hidden="false" customHeight="true" outlineLevel="0" collapsed="false"/>
    <row r="32" customFormat="false" ht="18.75" hidden="false" customHeight="true" outlineLevel="0" collapsed="false"/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/>
    <row r="38" customFormat="false" ht="18.75" hidden="false" customHeight="true" outlineLevel="0" collapsed="false"/>
    <row r="39" customFormat="false" ht="18.75" hidden="false" customHeight="true" outlineLevel="0" collapsed="false"/>
    <row r="40" customFormat="false" ht="18.75" hidden="false" customHeight="true" outlineLevel="0" collapsed="false"/>
    <row r="41" customFormat="false" ht="18.75" hidden="false" customHeight="true" outlineLevel="0" collapsed="false"/>
    <row r="42" customFormat="false" ht="18.75" hidden="false" customHeight="true" outlineLevel="0" collapsed="false"/>
    <row r="43" customFormat="false" ht="18.75" hidden="false" customHeight="true" outlineLevel="0" collapsed="false"/>
    <row r="44" customFormat="false" ht="18.75" hidden="false" customHeight="true" outlineLevel="0" collapsed="false"/>
    <row r="45" customFormat="false" ht="18.75" hidden="false" customHeight="true" outlineLevel="0" collapsed="false"/>
    <row r="46" customFormat="false" ht="18.75" hidden="false" customHeight="true" outlineLevel="0" collapsed="false"/>
    <row r="47" customFormat="false" ht="18.75" hidden="false" customHeight="true" outlineLevel="0" collapsed="false"/>
    <row r="48" customFormat="false" ht="18.75" hidden="false" customHeight="true" outlineLevel="0" collapsed="false"/>
    <row r="49" customFormat="false" ht="18.75" hidden="false" customHeight="true" outlineLevel="0" collapsed="false"/>
    <row r="50" customFormat="false" ht="18.75" hidden="false" customHeight="true" outlineLevel="0" collapsed="false"/>
    <row r="51" customFormat="false" ht="18.75" hidden="false" customHeight="true" outlineLevel="0" collapsed="false"/>
    <row r="52" customFormat="false" ht="18.75" hidden="false" customHeight="true" outlineLevel="0" collapsed="false"/>
    <row r="53" customFormat="false" ht="18.75" hidden="false" customHeight="true" outlineLevel="0" collapsed="false"/>
    <row r="54" customFormat="false" ht="18.75" hidden="false" customHeight="true" outlineLevel="0" collapsed="false"/>
  </sheetData>
  <mergeCells count="5">
    <mergeCell ref="B1:H2"/>
    <mergeCell ref="B3:C3"/>
    <mergeCell ref="E3:F3"/>
    <mergeCell ref="B10:C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22.06"/>
    <col collapsed="false" customWidth="true" hidden="false" outlineLevel="0" max="6" min="3" style="1" width="16.01"/>
    <col collapsed="false" customWidth="true" hidden="false" outlineLevel="0" max="7" min="7" style="1" width="2.02"/>
  </cols>
  <sheetData>
    <row r="1" customFormat="false" ht="18.75" hidden="false" customHeight="true" outlineLevel="0" collapsed="false">
      <c r="B1" s="33" t="s">
        <v>142</v>
      </c>
      <c r="C1" s="33"/>
      <c r="D1" s="33"/>
      <c r="E1" s="33"/>
      <c r="F1" s="33"/>
    </row>
    <row r="2" customFormat="false" ht="18.75" hidden="false" customHeight="true" outlineLevel="0" collapsed="false">
      <c r="B2" s="33"/>
      <c r="C2" s="33"/>
      <c r="D2" s="33"/>
      <c r="E2" s="33"/>
      <c r="F2" s="33"/>
    </row>
    <row r="3" customFormat="false" ht="18.75" hidden="false" customHeight="true" outlineLevel="0" collapsed="false">
      <c r="B3" s="10" t="s">
        <v>143</v>
      </c>
      <c r="C3" s="10"/>
      <c r="D3" s="10"/>
      <c r="E3" s="10"/>
      <c r="F3" s="10"/>
    </row>
    <row r="4" customFormat="false" ht="18.75" hidden="false" customHeight="true" outlineLevel="0" collapsed="false">
      <c r="B4" s="28" t="s">
        <v>144</v>
      </c>
      <c r="C4" s="75" t="s">
        <v>145</v>
      </c>
      <c r="D4" s="76" t="s">
        <v>146</v>
      </c>
      <c r="E4" s="76"/>
      <c r="F4" s="76"/>
    </row>
    <row r="5" customFormat="false" ht="18.75" hidden="false" customHeight="true" outlineLevel="0" collapsed="false">
      <c r="B5" s="77" t="s">
        <v>147</v>
      </c>
      <c r="C5" s="77"/>
      <c r="D5" s="77"/>
      <c r="E5" s="77"/>
      <c r="F5" s="77"/>
    </row>
    <row r="6" customFormat="false" ht="18.75" hidden="false" customHeight="true" outlineLevel="0" collapsed="false">
      <c r="B6" s="11" t="s">
        <v>148</v>
      </c>
      <c r="C6" s="61" t="n">
        <v>8000000</v>
      </c>
    </row>
    <row r="7" customFormat="false" ht="18.75" hidden="false" customHeight="true" outlineLevel="0" collapsed="false">
      <c r="B7" s="14" t="s">
        <v>149</v>
      </c>
      <c r="C7" s="61" t="n">
        <v>6400000</v>
      </c>
    </row>
    <row r="8" customFormat="false" ht="18.75" hidden="false" customHeight="true" outlineLevel="0" collapsed="false">
      <c r="B8" s="78" t="n">
        <f aca="false">IF(C4="Own",C6-C7,0)</f>
        <v>1600000</v>
      </c>
      <c r="C8" s="36" t="n">
        <v>0.085</v>
      </c>
    </row>
    <row r="9" customFormat="false" ht="18.75" hidden="false" customHeight="true" outlineLevel="0" collapsed="false">
      <c r="B9" s="14" t="s">
        <v>150</v>
      </c>
      <c r="C9" s="61" t="n">
        <v>20</v>
      </c>
    </row>
    <row r="10" customFormat="false" ht="18.75" hidden="false" customHeight="true" outlineLevel="0" collapsed="false">
      <c r="B10" s="11" t="s">
        <v>151</v>
      </c>
      <c r="C10" s="36" t="n">
        <v>0.05</v>
      </c>
    </row>
    <row r="11" customFormat="false" ht="18.75" hidden="false" customHeight="true" outlineLevel="0" collapsed="false">
      <c r="B11" s="11" t="s">
        <v>152</v>
      </c>
      <c r="C11" s="79" t="n">
        <f aca="false">IF(C4="Own",IFERROR(C7*(C8/12)*POWER(1+C8/12,C9*12)/(POWER(1+C8/12,C9*12)-1),0),0)</f>
        <v>55540.6869353942</v>
      </c>
    </row>
    <row r="12" customFormat="false" ht="18.75" hidden="false" customHeight="true" outlineLevel="0" collapsed="false">
      <c r="B12" s="80" t="s">
        <v>153</v>
      </c>
      <c r="C12" s="81" t="n">
        <f aca="false">IF(C4="Own",C6-C7,0)</f>
        <v>1600000</v>
      </c>
    </row>
    <row r="13" customFormat="false" ht="18.75" hidden="false" customHeight="true" outlineLevel="0" collapsed="false">
      <c r="B13" s="77" t="s">
        <v>154</v>
      </c>
      <c r="C13" s="77"/>
      <c r="D13" s="77"/>
      <c r="E13" s="77"/>
      <c r="F13" s="77"/>
    </row>
    <row r="14" customFormat="false" ht="18.75" hidden="false" customHeight="true" outlineLevel="0" collapsed="false">
      <c r="B14" s="28" t="s">
        <v>155</v>
      </c>
      <c r="C14" s="61" t="n">
        <v>20000</v>
      </c>
    </row>
    <row r="15" customFormat="false" ht="18.75" hidden="false" customHeight="true" outlineLevel="0" collapsed="false">
      <c r="B15" s="28" t="s">
        <v>156</v>
      </c>
      <c r="C15" s="36" t="n">
        <v>0.05</v>
      </c>
    </row>
    <row r="16" customFormat="false" ht="7.5" hidden="false" customHeight="true" outlineLevel="0" collapsed="false"/>
    <row r="17" customFormat="false" ht="18.75" hidden="false" customHeight="true" outlineLevel="0" collapsed="false">
      <c r="B17" s="10" t="s">
        <v>157</v>
      </c>
      <c r="C17" s="10"/>
      <c r="D17" s="10"/>
      <c r="E17" s="10"/>
      <c r="F17" s="10"/>
    </row>
    <row r="18" customFormat="false" ht="18.75" hidden="false" customHeight="true" outlineLevel="0" collapsed="false">
      <c r="B18" s="68" t="s">
        <v>158</v>
      </c>
      <c r="C18" s="68" t="s">
        <v>159</v>
      </c>
      <c r="D18" s="68" t="s">
        <v>160</v>
      </c>
      <c r="E18" s="68" t="s">
        <v>161</v>
      </c>
    </row>
    <row r="19" customFormat="false" ht="18.75" hidden="false" customHeight="true" outlineLevel="0" collapsed="false">
      <c r="B19" s="82" t="s">
        <v>162</v>
      </c>
      <c r="C19" s="61" t="n">
        <v>500000</v>
      </c>
      <c r="D19" s="82" t="s">
        <v>163</v>
      </c>
      <c r="E19" s="83" t="s">
        <v>164</v>
      </c>
      <c r="F19" s="13"/>
    </row>
    <row r="20" customFormat="false" ht="18.75" hidden="false" customHeight="true" outlineLevel="0" collapsed="false">
      <c r="B20" s="78" t="n">
        <f aca="false">C25</f>
        <v>1000000</v>
      </c>
      <c r="C20" s="61" t="n">
        <v>200000</v>
      </c>
      <c r="D20" s="82" t="s">
        <v>165</v>
      </c>
      <c r="E20" s="84" t="s">
        <v>166</v>
      </c>
      <c r="F20" s="16"/>
    </row>
    <row r="21" customFormat="false" ht="18.75" hidden="false" customHeight="true" outlineLevel="0" collapsed="false">
      <c r="B21" s="82" t="s">
        <v>167</v>
      </c>
      <c r="C21" s="61" t="n">
        <v>0</v>
      </c>
      <c r="D21" s="82" t="s">
        <v>168</v>
      </c>
      <c r="E21" s="83" t="s">
        <v>169</v>
      </c>
      <c r="F21" s="13"/>
    </row>
    <row r="22" customFormat="false" ht="18.75" hidden="false" customHeight="true" outlineLevel="0" collapsed="false">
      <c r="B22" s="82" t="s">
        <v>170</v>
      </c>
      <c r="C22" s="61" t="n">
        <v>300000</v>
      </c>
      <c r="D22" s="82" t="s">
        <v>171</v>
      </c>
      <c r="E22" s="84" t="s">
        <v>172</v>
      </c>
      <c r="F22" s="16"/>
    </row>
    <row r="23" customFormat="false" ht="18.75" hidden="false" customHeight="true" outlineLevel="0" collapsed="false">
      <c r="B23" s="82" t="s">
        <v>173</v>
      </c>
      <c r="C23" s="61" t="n">
        <v>0</v>
      </c>
      <c r="D23" s="82" t="s">
        <v>133</v>
      </c>
      <c r="E23" s="83"/>
      <c r="F23" s="13"/>
    </row>
    <row r="24" customFormat="false" ht="18.75" hidden="false" customHeight="true" outlineLevel="0" collapsed="false">
      <c r="B24" s="82" t="s">
        <v>174</v>
      </c>
      <c r="C24" s="61" t="n">
        <v>0</v>
      </c>
      <c r="D24" s="82" t="s">
        <v>133</v>
      </c>
      <c r="E24" s="84"/>
      <c r="F24" s="16"/>
    </row>
    <row r="25" customFormat="false" ht="18.75" hidden="false" customHeight="true" outlineLevel="0" collapsed="false">
      <c r="B25" s="72" t="s">
        <v>175</v>
      </c>
      <c r="C25" s="81" t="n">
        <f aca="false">SUM(C19:C24)</f>
        <v>1000000</v>
      </c>
    </row>
    <row r="26" customFormat="false" ht="7.5" hidden="false" customHeight="true" outlineLevel="0" collapsed="false"/>
    <row r="27" customFormat="false" ht="18.75" hidden="false" customHeight="true" outlineLevel="0" collapsed="false">
      <c r="B27" s="67" t="s">
        <v>176</v>
      </c>
      <c r="C27" s="67"/>
      <c r="D27" s="67"/>
      <c r="E27" s="67"/>
      <c r="F27" s="67"/>
    </row>
    <row r="28" customFormat="false" ht="18.75" hidden="false" customHeight="true" outlineLevel="0" collapsed="false">
      <c r="B28" s="68" t="s">
        <v>177</v>
      </c>
      <c r="C28" s="68" t="s">
        <v>178</v>
      </c>
      <c r="D28" s="68" t="s">
        <v>179</v>
      </c>
      <c r="E28" s="68" t="s">
        <v>180</v>
      </c>
      <c r="F28" s="68" t="s">
        <v>161</v>
      </c>
    </row>
    <row r="29" customFormat="false" ht="18.75" hidden="false" customHeight="true" outlineLevel="0" collapsed="false">
      <c r="B29" s="82" t="s">
        <v>181</v>
      </c>
      <c r="C29" s="61" t="n">
        <v>500000</v>
      </c>
      <c r="D29" s="61" t="n">
        <v>12000</v>
      </c>
      <c r="E29" s="36" t="n">
        <v>0.09</v>
      </c>
      <c r="F29" s="83" t="s">
        <v>182</v>
      </c>
    </row>
    <row r="30" customFormat="false" ht="18.75" hidden="false" customHeight="true" outlineLevel="0" collapsed="false">
      <c r="B30" s="82" t="s">
        <v>183</v>
      </c>
      <c r="C30" s="61" t="n">
        <v>0</v>
      </c>
      <c r="D30" s="61" t="n">
        <v>0</v>
      </c>
      <c r="E30" s="36" t="n">
        <v>0.12</v>
      </c>
      <c r="F30" s="84"/>
    </row>
    <row r="31" customFormat="false" ht="18.75" hidden="false" customHeight="true" outlineLevel="0" collapsed="false">
      <c r="B31" s="82" t="s">
        <v>184</v>
      </c>
      <c r="C31" s="61" t="n">
        <v>0</v>
      </c>
      <c r="D31" s="61" t="n">
        <v>0</v>
      </c>
      <c r="E31" s="36" t="n">
        <v>0.085</v>
      </c>
      <c r="F31" s="83"/>
    </row>
    <row r="32" customFormat="false" ht="18.75" hidden="false" customHeight="true" outlineLevel="0" collapsed="false">
      <c r="B32" s="82" t="s">
        <v>185</v>
      </c>
      <c r="C32" s="61" t="n">
        <v>0</v>
      </c>
      <c r="D32" s="61" t="n">
        <v>0</v>
      </c>
      <c r="E32" s="36" t="n">
        <v>0.36</v>
      </c>
      <c r="F32" s="84" t="s">
        <v>186</v>
      </c>
    </row>
    <row r="33" customFormat="false" ht="18.75" hidden="false" customHeight="true" outlineLevel="0" collapsed="false">
      <c r="B33" s="82" t="s">
        <v>187</v>
      </c>
      <c r="C33" s="61" t="n">
        <v>0</v>
      </c>
      <c r="D33" s="61" t="n">
        <v>0</v>
      </c>
      <c r="E33" s="36" t="n">
        <v>0.1</v>
      </c>
      <c r="F33" s="83"/>
    </row>
    <row r="34" customFormat="false" ht="18.75" hidden="false" customHeight="true" outlineLevel="0" collapsed="false">
      <c r="B34" s="82" t="s">
        <v>188</v>
      </c>
      <c r="C34" s="61" t="n">
        <v>0</v>
      </c>
      <c r="D34" s="61" t="n">
        <v>0</v>
      </c>
      <c r="E34" s="36" t="n">
        <v>0.1</v>
      </c>
      <c r="F34" s="84"/>
    </row>
    <row r="35" customFormat="false" ht="18.75" hidden="false" customHeight="true" outlineLevel="0" collapsed="false">
      <c r="B35" s="69" t="s">
        <v>189</v>
      </c>
      <c r="C35" s="85" t="n">
        <f aca="false">SUM(C29:C34)</f>
        <v>500000</v>
      </c>
    </row>
    <row r="36" customFormat="false" ht="18.75" hidden="false" customHeight="true" outlineLevel="0" collapsed="false">
      <c r="B36" s="69" t="s">
        <v>190</v>
      </c>
      <c r="C36" s="85" t="n">
        <f aca="false">SUM(D29:D34)</f>
        <v>12000</v>
      </c>
    </row>
    <row r="37" customFormat="false" ht="18.75" hidden="false" customHeight="true" outlineLevel="0" collapsed="false"/>
    <row r="38" customFormat="false" ht="18.75" hidden="false" customHeight="true" outlineLevel="0" collapsed="false"/>
    <row r="39" customFormat="false" ht="18.75" hidden="false" customHeight="true" outlineLevel="0" collapsed="false"/>
    <row r="40" customFormat="false" ht="18.75" hidden="false" customHeight="true" outlineLevel="0" collapsed="false"/>
    <row r="41" customFormat="false" ht="18.75" hidden="false" customHeight="true" outlineLevel="0" collapsed="false"/>
    <row r="42" customFormat="false" ht="18.75" hidden="false" customHeight="true" outlineLevel="0" collapsed="false">
      <c r="B42" s="86" t="n">
        <f aca="false">C36+C11</f>
        <v>67540.6869353942</v>
      </c>
    </row>
    <row r="43" customFormat="false" ht="18.75" hidden="false" customHeight="true" outlineLevel="0" collapsed="false">
      <c r="B43" s="86" t="n">
        <f aca="false">C35+IF(C4="Own",C7,0)</f>
        <v>6900000</v>
      </c>
    </row>
    <row r="44" customFormat="false" ht="18.75" hidden="false" customHeight="true" outlineLevel="0" collapsed="false"/>
    <row r="45" customFormat="false" ht="18.75" hidden="false" customHeight="true" outlineLevel="0" collapsed="false"/>
    <row r="46" customFormat="false" ht="18.75" hidden="false" customHeight="true" outlineLevel="0" collapsed="false"/>
    <row r="47" customFormat="false" ht="18.75" hidden="false" customHeight="true" outlineLevel="0" collapsed="false"/>
    <row r="48" customFormat="false" ht="18.75" hidden="false" customHeight="true" outlineLevel="0" collapsed="false"/>
    <row r="49" customFormat="false" ht="18.75" hidden="false" customHeight="true" outlineLevel="0" collapsed="false"/>
    <row r="50" customFormat="false" ht="18.75" hidden="false" customHeight="true" outlineLevel="0" collapsed="false"/>
    <row r="51" customFormat="false" ht="18.75" hidden="false" customHeight="true" outlineLevel="0" collapsed="false"/>
    <row r="52" customFormat="false" ht="18.75" hidden="false" customHeight="true" outlineLevel="0" collapsed="false"/>
    <row r="53" customFormat="false" ht="18.75" hidden="false" customHeight="true" outlineLevel="0" collapsed="false"/>
    <row r="54" customFormat="false" ht="18.75" hidden="false" customHeight="true" outlineLevel="0" collapsed="false"/>
    <row r="55" customFormat="false" ht="18.75" hidden="false" customHeight="true" outlineLevel="0" collapsed="false"/>
    <row r="56" customFormat="false" ht="18.75" hidden="false" customHeight="true" outlineLevel="0" collapsed="false"/>
    <row r="57" customFormat="false" ht="18.75" hidden="false" customHeight="true" outlineLevel="0" collapsed="false"/>
    <row r="58" customFormat="false" ht="18.75" hidden="false" customHeight="true" outlineLevel="0" collapsed="false"/>
    <row r="59" customFormat="false" ht="18.75" hidden="false" customHeight="true" outlineLevel="0" collapsed="false"/>
    <row r="60" customFormat="false" ht="18.75" hidden="false" customHeight="true" outlineLevel="0" collapsed="false"/>
    <row r="61" customFormat="false" ht="18.75" hidden="false" customHeight="true" outlineLevel="0" collapsed="false"/>
    <row r="62" customFormat="false" ht="18.75" hidden="false" customHeight="true" outlineLevel="0" collapsed="false"/>
    <row r="63" customFormat="false" ht="18.75" hidden="false" customHeight="true" outlineLevel="0" collapsed="false"/>
    <row r="64" customFormat="false" ht="18.75" hidden="false" customHeight="true" outlineLevel="0" collapsed="false"/>
    <row r="65" customFormat="false" ht="18.75" hidden="false" customHeight="true" outlineLevel="0" collapsed="false"/>
    <row r="66" customFormat="false" ht="18.75" hidden="false" customHeight="true" outlineLevel="0" collapsed="false"/>
    <row r="67" customFormat="false" ht="18.75" hidden="false" customHeight="true" outlineLevel="0" collapsed="false"/>
    <row r="68" customFormat="false" ht="18.75" hidden="false" customHeight="true" outlineLevel="0" collapsed="false"/>
    <row r="69" customFormat="false" ht="18.75" hidden="false" customHeight="true" outlineLevel="0" collapsed="false"/>
  </sheetData>
  <mergeCells count="7">
    <mergeCell ref="B1:F2"/>
    <mergeCell ref="B3:F3"/>
    <mergeCell ref="D4:F4"/>
    <mergeCell ref="B5:F5"/>
    <mergeCell ref="B13:F13"/>
    <mergeCell ref="B17:F17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22.06"/>
    <col collapsed="false" customWidth="true" hidden="false" outlineLevel="0" max="4" min="3" style="1" width="18.03"/>
    <col collapsed="false" customWidth="true" hidden="false" outlineLevel="0" max="5" min="5" style="1" width="11.97"/>
    <col collapsed="false" customWidth="true" hidden="false" outlineLevel="0" max="6" min="6" style="1" width="18.03"/>
    <col collapsed="false" customWidth="true" hidden="false" outlineLevel="0" max="7" min="7" style="1" width="22.06"/>
    <col collapsed="false" customWidth="true" hidden="false" outlineLevel="0" max="8" min="8" style="1" width="2.02"/>
  </cols>
  <sheetData>
    <row r="1" customFormat="false" ht="18.75" hidden="false" customHeight="true" outlineLevel="0" collapsed="false">
      <c r="B1" s="33" t="s">
        <v>191</v>
      </c>
      <c r="C1" s="33"/>
      <c r="D1" s="33"/>
      <c r="E1" s="33"/>
      <c r="F1" s="33"/>
      <c r="G1" s="33"/>
    </row>
    <row r="2" customFormat="false" ht="18.75" hidden="false" customHeight="true" outlineLevel="0" collapsed="false">
      <c r="B2" s="33"/>
      <c r="C2" s="33"/>
      <c r="D2" s="33"/>
      <c r="E2" s="33"/>
      <c r="F2" s="33"/>
      <c r="G2" s="33"/>
    </row>
    <row r="3" customFormat="false" ht="18.75" hidden="false" customHeight="true" outlineLevel="0" collapsed="false">
      <c r="B3" s="10" t="s">
        <v>192</v>
      </c>
      <c r="C3" s="10"/>
      <c r="D3" s="10"/>
      <c r="E3" s="10"/>
      <c r="F3" s="10"/>
      <c r="G3" s="10"/>
    </row>
    <row r="4" customFormat="false" ht="18.75" hidden="false" customHeight="true" outlineLevel="0" collapsed="false">
      <c r="B4" s="68" t="s">
        <v>193</v>
      </c>
      <c r="C4" s="68" t="s">
        <v>159</v>
      </c>
      <c r="D4" s="68" t="s">
        <v>194</v>
      </c>
      <c r="E4" s="68" t="s">
        <v>195</v>
      </c>
      <c r="F4" s="68" t="s">
        <v>196</v>
      </c>
      <c r="G4" s="68" t="s">
        <v>161</v>
      </c>
    </row>
    <row r="5" customFormat="false" ht="18.75" hidden="false" customHeight="true" outlineLevel="0" collapsed="false">
      <c r="B5" s="82" t="s">
        <v>197</v>
      </c>
      <c r="C5" s="61" t="n">
        <v>200000</v>
      </c>
      <c r="D5" s="61" t="n">
        <v>10000</v>
      </c>
      <c r="E5" s="87" t="n">
        <v>0.12</v>
      </c>
      <c r="F5" s="43" t="n">
        <f aca="false">IFERROR(C5*POWER(1+E5,10)+IF(D5&gt;0,D5*(POWER(1+E5/12,10*12)-1)/(E5/12),0),0)</f>
        <v>2921556.53624251</v>
      </c>
      <c r="G5" s="83" t="s">
        <v>198</v>
      </c>
    </row>
    <row r="6" customFormat="false" ht="18.75" hidden="false" customHeight="true" outlineLevel="0" collapsed="false">
      <c r="B6" s="82" t="s">
        <v>199</v>
      </c>
      <c r="C6" s="61" t="n">
        <v>100000</v>
      </c>
      <c r="D6" s="61" t="n">
        <v>5000</v>
      </c>
      <c r="E6" s="87" t="n">
        <v>0.11</v>
      </c>
      <c r="F6" s="42" t="n">
        <f aca="false">IFERROR(C6*POWER(1+E6,10)+IF(D6&gt;0,D6*(POWER(1+E6/12,10*12)-1)/(E6/12),0),0)</f>
        <v>1368932.79115743</v>
      </c>
      <c r="G6" s="84" t="s">
        <v>200</v>
      </c>
    </row>
    <row r="7" customFormat="false" ht="18.75" hidden="false" customHeight="true" outlineLevel="0" collapsed="false">
      <c r="B7" s="82" t="s">
        <v>201</v>
      </c>
      <c r="C7" s="61" t="n">
        <v>50000</v>
      </c>
      <c r="D7" s="61" t="n">
        <v>2000</v>
      </c>
      <c r="E7" s="87" t="n">
        <v>0.07</v>
      </c>
      <c r="F7" s="43" t="n">
        <f aca="false">IFERROR(C7*POWER(1+E7,10)+IF(D7&gt;0,D7*(POWER(1+E7/12,10*12)-1)/(E7/12),0),0)</f>
        <v>444527.182731552</v>
      </c>
      <c r="G7" s="83" t="s">
        <v>202</v>
      </c>
    </row>
    <row r="8" customFormat="false" ht="18.75" hidden="false" customHeight="true" outlineLevel="0" collapsed="false">
      <c r="B8" s="82" t="s">
        <v>203</v>
      </c>
      <c r="C8" s="61" t="n">
        <v>80000</v>
      </c>
      <c r="D8" s="61" t="n">
        <v>1000</v>
      </c>
      <c r="E8" s="87" t="n">
        <v>0.08</v>
      </c>
      <c r="F8" s="42" t="n">
        <f aca="false">IFERROR(C8*POWER(1+E8,10)+IF(D8&gt;0,D8*(POWER(1+E8/12,10*12)-1)/(E8/12),0),0)</f>
        <v>355660.03496353</v>
      </c>
      <c r="G8" s="84" t="s">
        <v>204</v>
      </c>
    </row>
    <row r="9" customFormat="false" ht="18.75" hidden="false" customHeight="true" outlineLevel="0" collapsed="false">
      <c r="B9" s="82" t="s">
        <v>205</v>
      </c>
      <c r="C9" s="61" t="n">
        <v>100000</v>
      </c>
      <c r="D9" s="61" t="n">
        <v>0</v>
      </c>
      <c r="E9" s="87" t="n">
        <v>0.07</v>
      </c>
      <c r="F9" s="43" t="n">
        <f aca="false">IFERROR(C9*POWER(1+E9,10)+IF(D9&gt;0,D9*(POWER(1+E9/12,10*12)-1)/(E9/12),0),0)</f>
        <v>196715.135728957</v>
      </c>
      <c r="G9" s="83" t="s">
        <v>206</v>
      </c>
    </row>
    <row r="10" customFormat="false" ht="18.75" hidden="false" customHeight="true" outlineLevel="0" collapsed="false">
      <c r="B10" s="82" t="s">
        <v>207</v>
      </c>
      <c r="C10" s="61" t="n">
        <v>150000</v>
      </c>
      <c r="D10" s="61" t="n">
        <v>5000</v>
      </c>
      <c r="E10" s="87" t="n">
        <v>0.071</v>
      </c>
      <c r="F10" s="42" t="n">
        <f aca="false">IFERROR(C10*POWER(1+E10,10)+IF(D10&gt;0,D10*(POWER(1+E10/12,10*12)-1)/(E10/12),0),0)</f>
        <v>1168045.05160671</v>
      </c>
      <c r="G10" s="84" t="s">
        <v>208</v>
      </c>
    </row>
    <row r="11" customFormat="false" ht="18.75" hidden="false" customHeight="true" outlineLevel="0" collapsed="false">
      <c r="B11" s="82" t="s">
        <v>209</v>
      </c>
      <c r="C11" s="61" t="n">
        <v>50000</v>
      </c>
      <c r="D11" s="61" t="n">
        <v>3000</v>
      </c>
      <c r="E11" s="87" t="n">
        <v>0.1</v>
      </c>
      <c r="F11" s="43" t="n">
        <f aca="false">IFERROR(C11*POWER(1+E11,10)+IF(D11&gt;0,D11*(POWER(1+E11/12,10*12)-1)/(E11/12),0),0)</f>
        <v>744222.059715408</v>
      </c>
      <c r="G11" s="83" t="s">
        <v>210</v>
      </c>
    </row>
    <row r="12" customFormat="false" ht="18.75" hidden="false" customHeight="true" outlineLevel="0" collapsed="false">
      <c r="B12" s="82" t="s">
        <v>211</v>
      </c>
      <c r="C12" s="61" t="n">
        <v>30000</v>
      </c>
      <c r="D12" s="61" t="n">
        <v>2000</v>
      </c>
      <c r="E12" s="87" t="n">
        <v>0.11</v>
      </c>
      <c r="F12" s="42" t="n">
        <f aca="false">IFERROR(C12*POWER(1+E12,10)+IF(D12&gt;0,D12*(POWER(1+E12/12,10*12)-1)/(E12/12),0),0)</f>
        <v>519178.906602281</v>
      </c>
      <c r="G12" s="84" t="s">
        <v>212</v>
      </c>
    </row>
    <row r="13" customFormat="false" ht="18.75" hidden="false" customHeight="true" outlineLevel="0" collapsed="false">
      <c r="B13" s="82" t="s">
        <v>213</v>
      </c>
      <c r="C13" s="61" t="n">
        <v>0</v>
      </c>
      <c r="D13" s="61" t="n">
        <v>0</v>
      </c>
      <c r="E13" s="87" t="n">
        <v>0.13</v>
      </c>
      <c r="F13" s="43" t="n">
        <f aca="false">IFERROR(C13*POWER(1+E13,10)+IF(D13&gt;0,D13*(POWER(1+E13/12,10*12)-1)/(E13/12),0),0)</f>
        <v>0</v>
      </c>
      <c r="G13" s="83"/>
    </row>
    <row r="14" customFormat="false" ht="18.75" hidden="false" customHeight="true" outlineLevel="0" collapsed="false">
      <c r="B14" s="82" t="s">
        <v>214</v>
      </c>
      <c r="C14" s="61" t="n">
        <v>0</v>
      </c>
      <c r="D14" s="61" t="n">
        <v>0</v>
      </c>
      <c r="E14" s="87" t="n">
        <v>0.09</v>
      </c>
      <c r="F14" s="42" t="n">
        <f aca="false">IFERROR(C14*POWER(1+E14,10)+IF(D14&gt;0,D14*(POWER(1+E14/12,10*12)-1)/(E14/12),0),0)</f>
        <v>0</v>
      </c>
      <c r="G14" s="84"/>
    </row>
    <row r="15" customFormat="false" ht="18.75" hidden="false" customHeight="true" outlineLevel="0" collapsed="false">
      <c r="B15" s="82" t="s">
        <v>215</v>
      </c>
      <c r="C15" s="61" t="n">
        <v>0</v>
      </c>
      <c r="D15" s="61" t="n">
        <v>0</v>
      </c>
      <c r="E15" s="87" t="n">
        <v>0.18</v>
      </c>
      <c r="F15" s="43" t="n">
        <f aca="false">IFERROR(C15*POWER(1+E15,10)+IF(D15&gt;0,D15*(POWER(1+E15/12,10*12)-1)/(E15/12),0),0)</f>
        <v>0</v>
      </c>
      <c r="G15" s="83" t="s">
        <v>216</v>
      </c>
    </row>
    <row r="16" customFormat="false" ht="18.75" hidden="false" customHeight="true" outlineLevel="0" collapsed="false">
      <c r="B16" s="82" t="s">
        <v>217</v>
      </c>
      <c r="C16" s="61" t="n">
        <v>0</v>
      </c>
      <c r="D16" s="61" t="n">
        <v>0</v>
      </c>
      <c r="E16" s="87" t="n">
        <v>0.08</v>
      </c>
      <c r="F16" s="42" t="n">
        <f aca="false">IFERROR(C16*POWER(1+E16,10)+IF(D16&gt;0,D16*(POWER(1+E16/12,10*12)-1)/(E16/12),0),0)</f>
        <v>0</v>
      </c>
      <c r="G16" s="84"/>
    </row>
    <row r="17" customFormat="false" ht="18.75" hidden="false" customHeight="true" outlineLevel="0" collapsed="false">
      <c r="B17" s="88" t="s">
        <v>218</v>
      </c>
      <c r="C17" s="89" t="n">
        <f aca="false">SUM(C5:C16)</f>
        <v>760000</v>
      </c>
      <c r="D17" s="89" t="n">
        <f aca="false">SUM(D5:D16)</f>
        <v>28000</v>
      </c>
      <c r="F17" s="89" t="n">
        <f aca="false">SUM(F5:F16)</f>
        <v>7718837.69874838</v>
      </c>
    </row>
    <row r="18" customFormat="false" ht="18.75" hidden="false" customHeight="true" outlineLevel="0" collapsed="false">
      <c r="B18" s="11" t="s">
        <v>219</v>
      </c>
      <c r="E18" s="90" t="n">
        <f aca="false">IFERROR(SUMPRODUCT(C5:C16,E5:E16)/SUMIF(C5:C16,"&gt;0",C5:C16),0.1)</f>
        <v>0.0932236842105263</v>
      </c>
    </row>
    <row r="19" customFormat="false" ht="18.75" hidden="false" customHeight="true" outlineLevel="0" collapsed="false"/>
    <row r="20" customFormat="false" ht="7.5" hidden="false" customHeight="true" outlineLevel="0" collapsed="false"/>
    <row r="21" customFormat="false" ht="18.75" hidden="false" customHeight="true" outlineLevel="0" collapsed="false">
      <c r="B21" s="10" t="s">
        <v>220</v>
      </c>
      <c r="C21" s="10"/>
      <c r="D21" s="10"/>
      <c r="E21" s="10"/>
      <c r="F21" s="10"/>
      <c r="G21" s="10"/>
    </row>
    <row r="22" customFormat="false" ht="18.75" hidden="false" customHeight="true" outlineLevel="0" collapsed="false">
      <c r="B22" s="68" t="s">
        <v>221</v>
      </c>
      <c r="C22" s="68" t="s">
        <v>222</v>
      </c>
      <c r="D22" s="68" t="s">
        <v>223</v>
      </c>
      <c r="E22" s="68" t="s">
        <v>224</v>
      </c>
      <c r="F22" s="68" t="s">
        <v>225</v>
      </c>
      <c r="G22" s="68" t="s">
        <v>161</v>
      </c>
    </row>
    <row r="23" customFormat="false" ht="18.75" hidden="false" customHeight="true" outlineLevel="0" collapsed="false">
      <c r="B23" s="91" t="s">
        <v>197</v>
      </c>
      <c r="C23" s="92" t="s">
        <v>226</v>
      </c>
      <c r="D23" s="92" t="s">
        <v>227</v>
      </c>
      <c r="E23" s="93" t="s">
        <v>228</v>
      </c>
      <c r="F23" s="94" t="s">
        <v>224</v>
      </c>
      <c r="G23" s="92" t="s">
        <v>229</v>
      </c>
    </row>
    <row r="24" customFormat="false" ht="18.75" hidden="false" customHeight="true" outlineLevel="0" collapsed="false">
      <c r="B24" s="95" t="s">
        <v>199</v>
      </c>
      <c r="C24" s="96" t="s">
        <v>230</v>
      </c>
      <c r="D24" s="96" t="s">
        <v>231</v>
      </c>
      <c r="E24" s="93" t="s">
        <v>227</v>
      </c>
      <c r="F24" s="94" t="s">
        <v>232</v>
      </c>
      <c r="G24" s="96" t="s">
        <v>233</v>
      </c>
    </row>
    <row r="25" customFormat="false" ht="18.75" hidden="false" customHeight="true" outlineLevel="0" collapsed="false">
      <c r="B25" s="91" t="s">
        <v>234</v>
      </c>
      <c r="C25" s="92" t="s">
        <v>235</v>
      </c>
      <c r="D25" s="92" t="s">
        <v>226</v>
      </c>
      <c r="E25" s="93" t="s">
        <v>231</v>
      </c>
      <c r="F25" s="94" t="s">
        <v>236</v>
      </c>
      <c r="G25" s="92" t="s">
        <v>237</v>
      </c>
    </row>
    <row r="26" customFormat="false" ht="18.75" hidden="false" customHeight="true" outlineLevel="0" collapsed="false">
      <c r="B26" s="95" t="s">
        <v>238</v>
      </c>
      <c r="C26" s="96" t="s">
        <v>239</v>
      </c>
      <c r="D26" s="96" t="s">
        <v>235</v>
      </c>
      <c r="E26" s="93" t="s">
        <v>226</v>
      </c>
      <c r="F26" s="94" t="s">
        <v>236</v>
      </c>
      <c r="G26" s="96" t="s">
        <v>240</v>
      </c>
    </row>
    <row r="27" customFormat="false" ht="18.75" hidden="false" customHeight="true" outlineLevel="0" collapsed="false">
      <c r="B27" s="91" t="s">
        <v>207</v>
      </c>
      <c r="C27" s="92" t="s">
        <v>241</v>
      </c>
      <c r="D27" s="92" t="s">
        <v>241</v>
      </c>
      <c r="E27" s="93" t="s">
        <v>241</v>
      </c>
      <c r="F27" s="94" t="s">
        <v>222</v>
      </c>
      <c r="G27" s="92" t="s">
        <v>242</v>
      </c>
    </row>
    <row r="28" customFormat="false" ht="18.75" hidden="false" customHeight="true" outlineLevel="0" collapsed="false">
      <c r="B28" s="95" t="s">
        <v>205</v>
      </c>
      <c r="C28" s="96" t="s">
        <v>243</v>
      </c>
      <c r="D28" s="96" t="s">
        <v>244</v>
      </c>
      <c r="E28" s="93" t="s">
        <v>245</v>
      </c>
      <c r="F28" s="94" t="s">
        <v>246</v>
      </c>
      <c r="G28" s="96" t="s">
        <v>247</v>
      </c>
    </row>
    <row r="29" customFormat="false" ht="18.75" hidden="false" customHeight="true" outlineLevel="0" collapsed="false">
      <c r="B29" s="91" t="s">
        <v>201</v>
      </c>
      <c r="C29" s="92" t="s">
        <v>239</v>
      </c>
      <c r="D29" s="92" t="s">
        <v>244</v>
      </c>
      <c r="E29" s="93" t="s">
        <v>235</v>
      </c>
      <c r="F29" s="94" t="s">
        <v>248</v>
      </c>
      <c r="G29" s="92" t="s">
        <v>249</v>
      </c>
    </row>
    <row r="30" customFormat="false" ht="18.75" hidden="false" customHeight="true" outlineLevel="0" collapsed="false">
      <c r="B30" s="95" t="s">
        <v>250</v>
      </c>
      <c r="C30" s="96" t="s">
        <v>230</v>
      </c>
      <c r="D30" s="96" t="s">
        <v>231</v>
      </c>
      <c r="E30" s="93" t="s">
        <v>251</v>
      </c>
      <c r="F30" s="94" t="s">
        <v>232</v>
      </c>
      <c r="G30" s="96" t="s">
        <v>252</v>
      </c>
    </row>
    <row r="31" customFormat="false" ht="18.75" hidden="false" customHeight="true" outlineLevel="0" collapsed="false">
      <c r="B31" s="91" t="s">
        <v>213</v>
      </c>
      <c r="C31" s="92" t="s">
        <v>235</v>
      </c>
      <c r="D31" s="92" t="s">
        <v>251</v>
      </c>
      <c r="E31" s="93" t="s">
        <v>253</v>
      </c>
      <c r="F31" s="94" t="s">
        <v>254</v>
      </c>
      <c r="G31" s="92" t="s">
        <v>255</v>
      </c>
    </row>
    <row r="32" customFormat="false" ht="18.75" hidden="false" customHeight="true" outlineLevel="0" collapsed="false">
      <c r="B32" s="95" t="s">
        <v>215</v>
      </c>
      <c r="C32" s="96" t="s">
        <v>256</v>
      </c>
      <c r="D32" s="96" t="s">
        <v>257</v>
      </c>
      <c r="E32" s="93" t="s">
        <v>258</v>
      </c>
      <c r="F32" s="94" t="s">
        <v>259</v>
      </c>
      <c r="G32" s="96" t="s">
        <v>260</v>
      </c>
    </row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>
      <c r="B36" s="78" t="n">
        <f aca="false">D17</f>
        <v>28000</v>
      </c>
    </row>
    <row r="37" customFormat="false" ht="18.75" hidden="false" customHeight="true" outlineLevel="0" collapsed="false"/>
    <row r="38" customFormat="false" ht="18.75" hidden="false" customHeight="true" outlineLevel="0" collapsed="false">
      <c r="B38" s="78" t="n">
        <f aca="false">C17</f>
        <v>760000</v>
      </c>
    </row>
    <row r="39" customFormat="false" ht="18.75" hidden="false" customHeight="true" outlineLevel="0" collapsed="false"/>
    <row r="40" customFormat="false" ht="18.75" hidden="false" customHeight="true" outlineLevel="0" collapsed="false"/>
    <row r="41" customFormat="false" ht="18.75" hidden="false" customHeight="true" outlineLevel="0" collapsed="false"/>
    <row r="42" customFormat="false" ht="18.75" hidden="false" customHeight="true" outlineLevel="0" collapsed="false"/>
    <row r="43" customFormat="false" ht="18.75" hidden="false" customHeight="true" outlineLevel="0" collapsed="false"/>
    <row r="44" customFormat="false" ht="18.75" hidden="false" customHeight="true" outlineLevel="0" collapsed="false"/>
    <row r="45" customFormat="false" ht="18.75" hidden="false" customHeight="true" outlineLevel="0" collapsed="false"/>
    <row r="46" customFormat="false" ht="18.75" hidden="false" customHeight="true" outlineLevel="0" collapsed="false"/>
    <row r="47" customFormat="false" ht="18.75" hidden="false" customHeight="true" outlineLevel="0" collapsed="false"/>
    <row r="48" customFormat="false" ht="18.75" hidden="false" customHeight="true" outlineLevel="0" collapsed="false"/>
    <row r="49" customFormat="false" ht="18.75" hidden="false" customHeight="true" outlineLevel="0" collapsed="false"/>
    <row r="50" customFormat="false" ht="18.75" hidden="false" customHeight="true" outlineLevel="0" collapsed="false"/>
    <row r="51" customFormat="false" ht="18.75" hidden="false" customHeight="true" outlineLevel="0" collapsed="false"/>
    <row r="52" customFormat="false" ht="18.75" hidden="false" customHeight="true" outlineLevel="0" collapsed="false"/>
    <row r="53" customFormat="false" ht="18.75" hidden="false" customHeight="true" outlineLevel="0" collapsed="false"/>
    <row r="54" customFormat="false" ht="18.75" hidden="false" customHeight="true" outlineLevel="0" collapsed="false"/>
    <row r="55" customFormat="false" ht="18.75" hidden="false" customHeight="true" outlineLevel="0" collapsed="false"/>
    <row r="56" customFormat="false" ht="18.75" hidden="false" customHeight="true" outlineLevel="0" collapsed="false"/>
    <row r="57" customFormat="false" ht="18.75" hidden="false" customHeight="true" outlineLevel="0" collapsed="false"/>
    <row r="58" customFormat="false" ht="18.75" hidden="false" customHeight="true" outlineLevel="0" collapsed="false"/>
    <row r="59" customFormat="false" ht="18.75" hidden="false" customHeight="true" outlineLevel="0" collapsed="false"/>
  </sheetData>
  <mergeCells count="3">
    <mergeCell ref="B1:G2"/>
    <mergeCell ref="B3:G3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2.02"/>
    <col collapsed="false" customWidth="true" hidden="false" outlineLevel="0" max="2" min="2" style="1" width="25.97"/>
    <col collapsed="false" customWidth="true" hidden="false" outlineLevel="0" max="4" min="3" style="1" width="16.01"/>
    <col collapsed="false" customWidth="true" hidden="false" outlineLevel="0" max="5" min="5" style="1" width="18.03"/>
    <col collapsed="false" customWidth="true" hidden="false" outlineLevel="0" max="6" min="6" style="1" width="22.06"/>
    <col collapsed="false" customWidth="true" hidden="false" outlineLevel="0" max="7" min="7" style="1" width="2.02"/>
  </cols>
  <sheetData>
    <row r="1" customFormat="false" ht="18.75" hidden="false" customHeight="true" outlineLevel="0" collapsed="false">
      <c r="B1" s="33" t="s">
        <v>261</v>
      </c>
      <c r="C1" s="33"/>
      <c r="D1" s="33"/>
      <c r="E1" s="33"/>
      <c r="F1" s="33"/>
    </row>
    <row r="2" customFormat="false" ht="18.75" hidden="false" customHeight="true" outlineLevel="0" collapsed="false">
      <c r="B2" s="33"/>
      <c r="C2" s="33"/>
      <c r="D2" s="33"/>
      <c r="E2" s="33"/>
      <c r="F2" s="33"/>
    </row>
    <row r="3" customFormat="false" ht="18.75" hidden="false" customHeight="true" outlineLevel="0" collapsed="false">
      <c r="B3" s="10" t="s">
        <v>262</v>
      </c>
      <c r="C3" s="10"/>
      <c r="D3" s="10"/>
      <c r="E3" s="10"/>
      <c r="F3" s="10"/>
    </row>
    <row r="4" customFormat="false" ht="18.75" hidden="false" customHeight="true" outlineLevel="0" collapsed="false">
      <c r="B4" s="97"/>
      <c r="C4" s="97" t="s">
        <v>263</v>
      </c>
      <c r="D4" s="97" t="s">
        <v>264</v>
      </c>
      <c r="E4" s="98" t="s">
        <v>265</v>
      </c>
      <c r="F4" s="97" t="s">
        <v>266</v>
      </c>
    </row>
    <row r="5" customFormat="false" ht="7.5" hidden="false" customHeight="true" outlineLevel="0" collapsed="false">
      <c r="B5" s="28" t="s">
        <v>267</v>
      </c>
      <c r="C5" s="37" t="s">
        <v>268</v>
      </c>
      <c r="D5" s="34" t="n">
        <v>32</v>
      </c>
      <c r="E5" s="61" t="n">
        <v>1500000</v>
      </c>
      <c r="F5" s="99" t="n">
        <f aca="false">IF(LOWER(C5)="yes",E5*POWER(1+Profile!C7,MAX(0,D5-Profile!C4)),0)</f>
        <v>1685400</v>
      </c>
    </row>
    <row r="6" customFormat="false" ht="18.75" hidden="false" customHeight="true" outlineLevel="0" collapsed="false">
      <c r="B6" s="10" t="s">
        <v>269</v>
      </c>
      <c r="C6" s="10"/>
      <c r="D6" s="10"/>
      <c r="E6" s="10"/>
      <c r="F6" s="10"/>
    </row>
    <row r="7" customFormat="false" ht="18.75" hidden="false" customHeight="true" outlineLevel="0" collapsed="false">
      <c r="B7" s="68" t="s">
        <v>270</v>
      </c>
      <c r="C7" s="68" t="s">
        <v>271</v>
      </c>
      <c r="D7" s="68" t="s">
        <v>272</v>
      </c>
      <c r="E7" s="68" t="s">
        <v>273</v>
      </c>
      <c r="F7" s="68" t="s">
        <v>274</v>
      </c>
    </row>
    <row r="8" customFormat="false" ht="18.75" hidden="false" customHeight="true" outlineLevel="0" collapsed="false">
      <c r="B8" s="11" t="s">
        <v>275</v>
      </c>
      <c r="C8" s="34" t="n">
        <v>31</v>
      </c>
      <c r="D8" s="61" t="n">
        <v>15000</v>
      </c>
      <c r="E8" s="61" t="n">
        <v>2500000</v>
      </c>
      <c r="F8" s="99" t="n">
        <f aca="false">IF(C8&gt;0,E8*POWER(1+Profile!C7,MAX(0,C8+18-Profile!C4)),0)</f>
        <v>7563998.75521898</v>
      </c>
    </row>
    <row r="9" customFormat="false" ht="18.75" hidden="false" customHeight="true" outlineLevel="0" collapsed="false">
      <c r="B9" s="14" t="s">
        <v>276</v>
      </c>
      <c r="C9" s="34" t="n">
        <v>0</v>
      </c>
      <c r="D9" s="61" t="n">
        <v>0</v>
      </c>
      <c r="E9" s="61" t="n">
        <v>0</v>
      </c>
      <c r="F9" s="99" t="n">
        <f aca="false">IF(C9&gt;0,E9*POWER(1+Profile!C7,MAX(0,C9+18-Profile!C4)),0)</f>
        <v>0</v>
      </c>
    </row>
    <row r="10" customFormat="false" ht="18.75" hidden="false" customHeight="true" outlineLevel="0" collapsed="false">
      <c r="B10" s="28" t="s">
        <v>277</v>
      </c>
      <c r="C10" s="36" t="n">
        <v>0.1</v>
      </c>
      <c r="D10" s="61" t="n">
        <v>0</v>
      </c>
      <c r="E10" s="61" t="n">
        <v>0</v>
      </c>
      <c r="F10" s="99" t="n">
        <f aca="false">IF(C10&gt;0,E10*POWER(1+Profile!C7,MAX(0,C10+18-Profile!C4)),0)</f>
        <v>0</v>
      </c>
    </row>
    <row r="11" customFormat="false" ht="18.75" hidden="false" customHeight="true" outlineLevel="0" collapsed="false">
      <c r="B11" s="72" t="s">
        <v>278</v>
      </c>
      <c r="E11" s="81" t="n">
        <f aca="false">SUM(F8:F10)</f>
        <v>7563998.75521898</v>
      </c>
    </row>
    <row r="12" customFormat="false" ht="7.5" hidden="false" customHeight="true" outlineLevel="0" collapsed="false"/>
    <row r="13" customFormat="false" ht="18.75" hidden="false" customHeight="true" outlineLevel="0" collapsed="false">
      <c r="B13" s="10" t="s">
        <v>279</v>
      </c>
      <c r="C13" s="10"/>
      <c r="D13" s="10"/>
      <c r="E13" s="10"/>
      <c r="F13" s="10"/>
    </row>
    <row r="14" customFormat="false" ht="18.75" hidden="false" customHeight="true" outlineLevel="0" collapsed="false">
      <c r="B14" s="68" t="s">
        <v>280</v>
      </c>
      <c r="C14" s="68" t="s">
        <v>264</v>
      </c>
      <c r="D14" s="68" t="s">
        <v>281</v>
      </c>
      <c r="E14" s="68" t="s">
        <v>282</v>
      </c>
      <c r="F14" s="68" t="s">
        <v>266</v>
      </c>
    </row>
    <row r="15" customFormat="false" ht="18.75" hidden="false" customHeight="true" outlineLevel="0" collapsed="false">
      <c r="B15" s="82" t="s">
        <v>283</v>
      </c>
      <c r="C15" s="34" t="n">
        <v>38</v>
      </c>
      <c r="D15" s="100" t="s">
        <v>224</v>
      </c>
      <c r="E15" s="101" t="n">
        <f aca="false">E11</f>
        <v>7563998.75521898</v>
      </c>
      <c r="F15" s="43" t="n">
        <f aca="false">IF(C15&gt;0,E15*POWER(1+Profile!C7,MAX(0,C15-Profile!C4)),0)</f>
        <v>12055864.8517595</v>
      </c>
    </row>
    <row r="16" customFormat="false" ht="18.75" hidden="false" customHeight="true" outlineLevel="0" collapsed="false">
      <c r="B16" s="82" t="s">
        <v>284</v>
      </c>
      <c r="C16" s="34" t="n">
        <v>40</v>
      </c>
      <c r="D16" s="100" t="s">
        <v>236</v>
      </c>
      <c r="E16" s="61" t="n">
        <v>2000000</v>
      </c>
      <c r="F16" s="42" t="n">
        <f aca="false">IF(C16&gt;0,E16*POWER(1+Profile!C7,MAX(0,C16-Profile!C4)),0)</f>
        <v>3581695.39308571</v>
      </c>
    </row>
    <row r="17" customFormat="false" ht="18.75" hidden="false" customHeight="true" outlineLevel="0" collapsed="false">
      <c r="B17" s="82" t="s">
        <v>285</v>
      </c>
      <c r="C17" s="34" t="n">
        <v>45</v>
      </c>
      <c r="D17" s="100" t="s">
        <v>222</v>
      </c>
      <c r="E17" s="61" t="n">
        <v>0</v>
      </c>
      <c r="F17" s="43" t="n">
        <f aca="false">IF(C17&gt;0,E17*POWER(1+Profile!C7,MAX(0,C17-Profile!C4)),0)</f>
        <v>0</v>
      </c>
    </row>
    <row r="18" customFormat="false" ht="18.75" hidden="false" customHeight="true" outlineLevel="0" collapsed="false">
      <c r="B18" s="82" t="s">
        <v>286</v>
      </c>
      <c r="C18" s="34" t="n">
        <v>35</v>
      </c>
      <c r="D18" s="100" t="s">
        <v>236</v>
      </c>
      <c r="E18" s="61" t="n">
        <v>1000000</v>
      </c>
      <c r="F18" s="42" t="n">
        <f aca="false">IF(C18&gt;0,E18*POWER(1+Profile!C7,MAX(0,C18-Profile!C4)),0)</f>
        <v>1338225.5776</v>
      </c>
    </row>
    <row r="19" customFormat="false" ht="18.75" hidden="false" customHeight="true" outlineLevel="0" collapsed="false">
      <c r="B19" s="82" t="s">
        <v>287</v>
      </c>
      <c r="C19" s="34" t="n">
        <v>50</v>
      </c>
      <c r="D19" s="100" t="s">
        <v>224</v>
      </c>
      <c r="E19" s="61" t="n">
        <v>1000000</v>
      </c>
      <c r="F19" s="43" t="n">
        <f aca="false">IF(C19&gt;0,E19*POWER(1+Profile!C7,MAX(0,C19-Profile!C4)),0)</f>
        <v>3207135.47221285</v>
      </c>
    </row>
    <row r="20" customFormat="false" ht="18.75" hidden="false" customHeight="true" outlineLevel="0" collapsed="false">
      <c r="B20" s="82" t="s">
        <v>288</v>
      </c>
      <c r="C20" s="34" t="n">
        <v>0</v>
      </c>
      <c r="D20" s="100" t="s">
        <v>289</v>
      </c>
      <c r="E20" s="61" t="n">
        <v>0</v>
      </c>
      <c r="F20" s="42" t="n">
        <f aca="false">IF(C20&gt;0,E20*POWER(1+Profile!C7,MAX(0,C20-Profile!C4)),0)</f>
        <v>0</v>
      </c>
    </row>
    <row r="21" customFormat="false" ht="18.75" hidden="false" customHeight="true" outlineLevel="0" collapsed="false">
      <c r="B21" s="82" t="s">
        <v>290</v>
      </c>
      <c r="C21" s="34" t="n">
        <v>0</v>
      </c>
      <c r="D21" s="100" t="s">
        <v>289</v>
      </c>
      <c r="E21" s="61" t="n">
        <v>0</v>
      </c>
      <c r="F21" s="43" t="n">
        <f aca="false">IF(C21&gt;0,E21*POWER(1+Profile!C7,MAX(0,C21-Profile!C4)),0)</f>
        <v>0</v>
      </c>
    </row>
    <row r="22" customFormat="false" ht="18.75" hidden="false" customHeight="true" outlineLevel="0" collapsed="false">
      <c r="B22" s="82" t="s">
        <v>291</v>
      </c>
      <c r="C22" s="34" t="n">
        <v>0</v>
      </c>
      <c r="D22" s="100" t="s">
        <v>289</v>
      </c>
      <c r="E22" s="61" t="n">
        <v>0</v>
      </c>
      <c r="F22" s="42" t="n">
        <f aca="false">IF(C22&gt;0,E22*POWER(1+Profile!C7,MAX(0,C22-Profile!C4)),0)</f>
        <v>0</v>
      </c>
    </row>
    <row r="23" customFormat="false" ht="18.75" hidden="false" customHeight="true" outlineLevel="0" collapsed="false">
      <c r="B23" s="72" t="s">
        <v>292</v>
      </c>
      <c r="E23" s="81" t="n">
        <f aca="false">SUM(F15:F22)</f>
        <v>20182921.294658</v>
      </c>
    </row>
    <row r="24" customFormat="false" ht="7.5" hidden="false" customHeight="true" outlineLevel="0" collapsed="false"/>
    <row r="25" customFormat="false" ht="18.75" hidden="false" customHeight="true" outlineLevel="0" collapsed="false">
      <c r="B25" s="46" t="s">
        <v>293</v>
      </c>
      <c r="C25" s="46"/>
      <c r="D25" s="46"/>
      <c r="E25" s="46"/>
      <c r="F25" s="46"/>
    </row>
    <row r="26" customFormat="false" ht="18.75" hidden="false" customHeight="true" outlineLevel="0" collapsed="false">
      <c r="B26" s="11" t="s">
        <v>29</v>
      </c>
      <c r="E26" s="45" t="n">
        <f aca="false">F5</f>
        <v>1685400</v>
      </c>
    </row>
    <row r="27" customFormat="false" ht="18.75" hidden="false" customHeight="true" outlineLevel="0" collapsed="false">
      <c r="B27" s="14" t="s">
        <v>294</v>
      </c>
      <c r="E27" s="102" t="n">
        <f aca="false">E11</f>
        <v>7563998.75521898</v>
      </c>
    </row>
    <row r="28" customFormat="false" ht="18.75" hidden="false" customHeight="true" outlineLevel="0" collapsed="false">
      <c r="B28" s="11" t="s">
        <v>295</v>
      </c>
      <c r="E28" s="101" t="n">
        <f aca="false">E23</f>
        <v>20182921.294658</v>
      </c>
    </row>
    <row r="29" customFormat="false" ht="25.5" hidden="false" customHeight="true" outlineLevel="0" collapsed="false">
      <c r="B29" s="103" t="s">
        <v>296</v>
      </c>
      <c r="E29" s="47" t="n">
        <f aca="false">E26+E27+E28</f>
        <v>29432320.049877</v>
      </c>
    </row>
    <row r="30" customFormat="false" ht="18.75" hidden="false" customHeight="true" outlineLevel="0" collapsed="false">
      <c r="E30" s="101" t="n">
        <f aca="false">E29</f>
        <v>29432320.049877</v>
      </c>
    </row>
    <row r="31" customFormat="false" ht="18.75" hidden="false" customHeight="true" outlineLevel="0" collapsed="false"/>
    <row r="32" customFormat="false" ht="18.75" hidden="false" customHeight="true" outlineLevel="0" collapsed="false"/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/>
    <row r="38" customFormat="false" ht="18.75" hidden="false" customHeight="true" outlineLevel="0" collapsed="false"/>
    <row r="39" customFormat="false" ht="18.75" hidden="false" customHeight="true" outlineLevel="0" collapsed="false"/>
    <row r="40" customFormat="false" ht="18.75" hidden="false" customHeight="true" outlineLevel="0" collapsed="false"/>
    <row r="41" customFormat="false" ht="18.75" hidden="false" customHeight="true" outlineLevel="0" collapsed="false"/>
    <row r="42" customFormat="false" ht="18.75" hidden="false" customHeight="true" outlineLevel="0" collapsed="false"/>
    <row r="43" customFormat="false" ht="18.75" hidden="false" customHeight="true" outlineLevel="0" collapsed="false"/>
    <row r="44" customFormat="false" ht="18.75" hidden="false" customHeight="true" outlineLevel="0" collapsed="false"/>
    <row r="45" customFormat="false" ht="18.75" hidden="false" customHeight="true" outlineLevel="0" collapsed="false"/>
    <row r="46" customFormat="false" ht="18.75" hidden="false" customHeight="true" outlineLevel="0" collapsed="false"/>
    <row r="47" customFormat="false" ht="18.75" hidden="false" customHeight="true" outlineLevel="0" collapsed="false"/>
    <row r="48" customFormat="false" ht="18.75" hidden="false" customHeight="true" outlineLevel="0" collapsed="false"/>
    <row r="49" customFormat="false" ht="18.75" hidden="false" customHeight="true" outlineLevel="0" collapsed="false"/>
    <row r="50" customFormat="false" ht="18.75" hidden="false" customHeight="true" outlineLevel="0" collapsed="false"/>
    <row r="51" customFormat="false" ht="18.75" hidden="false" customHeight="true" outlineLevel="0" collapsed="false"/>
    <row r="52" customFormat="false" ht="18.75" hidden="false" customHeight="true" outlineLevel="0" collapsed="false"/>
    <row r="53" customFormat="false" ht="18.75" hidden="false" customHeight="true" outlineLevel="0" collapsed="false"/>
    <row r="54" customFormat="false" ht="18.75" hidden="false" customHeight="true" outlineLevel="0" collapsed="false"/>
  </sheetData>
  <mergeCells count="5">
    <mergeCell ref="B1:F2"/>
    <mergeCell ref="B3:F3"/>
    <mergeCell ref="B6:F6"/>
    <mergeCell ref="B13:F13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fals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6.05"/>
    <col collapsed="false" customWidth="true" hidden="false" outlineLevel="0" max="2" min="2" style="1" width="9.94"/>
    <col collapsed="false" customWidth="true" hidden="false" outlineLevel="0" max="3" min="3" style="1" width="13.99"/>
    <col collapsed="false" customWidth="true" hidden="false" outlineLevel="0" max="7" min="4" style="1" width="18.03"/>
    <col collapsed="false" customWidth="true" hidden="false" outlineLevel="0" max="9" min="8" style="1" width="13.99"/>
  </cols>
  <sheetData>
    <row r="1" customFormat="false" ht="18" hidden="false" customHeight="true" outlineLevel="0" collapsed="false">
      <c r="A1" s="33" t="s">
        <v>297</v>
      </c>
      <c r="B1" s="33"/>
      <c r="C1" s="33"/>
      <c r="D1" s="33"/>
      <c r="E1" s="33"/>
      <c r="F1" s="33"/>
      <c r="G1" s="33"/>
      <c r="H1" s="33"/>
      <c r="I1" s="33"/>
    </row>
    <row r="2" customFormat="false" ht="18" hidden="false" customHeight="true" outlineLevel="0" collapsed="false">
      <c r="A2" s="33"/>
      <c r="B2" s="33"/>
      <c r="C2" s="33"/>
      <c r="D2" s="33"/>
      <c r="E2" s="33"/>
      <c r="F2" s="33"/>
      <c r="G2" s="33"/>
      <c r="H2" s="33"/>
      <c r="I2" s="33"/>
    </row>
    <row r="3" customFormat="false" ht="18" hidden="false" customHeight="true" outlineLevel="0" collapsed="false"/>
    <row r="4" customFormat="false" ht="18" hidden="false" customHeight="true" outlineLevel="0" collapsed="false"/>
    <row r="5" customFormat="false" ht="18" hidden="false" customHeight="true" outlineLevel="0" collapsed="false">
      <c r="A5" s="28" t="s">
        <v>298</v>
      </c>
      <c r="B5" s="104" t="n">
        <f aca="false">IFERROR(MATCH(TRUE(),INDEX(Projections!E8:E68&gt;=Profile!C30,0),0)-1,"&gt;55")</f>
        <v>33</v>
      </c>
    </row>
    <row r="6" customFormat="false" ht="18" hidden="false" customHeight="true" outlineLevel="0" collapsed="false">
      <c r="A6" s="10" t="s">
        <v>299</v>
      </c>
      <c r="B6" s="10"/>
      <c r="C6" s="10"/>
      <c r="D6" s="10"/>
      <c r="E6" s="10"/>
      <c r="F6" s="10"/>
      <c r="G6" s="10"/>
      <c r="H6" s="10"/>
      <c r="I6" s="10"/>
    </row>
    <row r="7" customFormat="false" ht="18" hidden="false" customHeight="true" outlineLevel="0" collapsed="false">
      <c r="A7" s="68" t="s">
        <v>300</v>
      </c>
      <c r="B7" s="68" t="s">
        <v>301</v>
      </c>
      <c r="C7" s="68" t="s">
        <v>302</v>
      </c>
      <c r="D7" s="68" t="s">
        <v>303</v>
      </c>
      <c r="E7" s="68" t="s">
        <v>304</v>
      </c>
      <c r="F7" s="68" t="s">
        <v>305</v>
      </c>
      <c r="G7" s="68" t="s">
        <v>306</v>
      </c>
      <c r="H7" s="68" t="s">
        <v>7</v>
      </c>
      <c r="I7" s="68" t="s">
        <v>307</v>
      </c>
    </row>
    <row r="8" customFormat="false" ht="18" hidden="false" customHeight="true" outlineLevel="0" collapsed="false">
      <c r="A8" s="92" t="n">
        <v>0</v>
      </c>
      <c r="B8" s="105" t="n">
        <f aca="false">Profile!C4</f>
        <v>30</v>
      </c>
      <c r="C8" s="106" t="n">
        <f aca="false">Investments!B36*12</f>
        <v>336000</v>
      </c>
      <c r="D8" s="106" t="n">
        <f aca="false">Investments!B38</f>
        <v>760000</v>
      </c>
      <c r="E8" s="106" t="n">
        <f aca="false">D8</f>
        <v>760000</v>
      </c>
      <c r="F8" s="106" t="n">
        <f aca="false">Profile!C30</f>
        <v>74171859.8872462</v>
      </c>
      <c r="G8" s="106" t="n">
        <f aca="false">E8-F8</f>
        <v>-73411859.8872462</v>
      </c>
      <c r="H8" s="107" t="n">
        <f aca="false">IFERROR(E8/F8,0)</f>
        <v>0.0102464735434075</v>
      </c>
      <c r="I8" s="108" t="str">
        <f aca="false">IF(E8&gt;=F8,"🏆 FREE!","Working...")</f>
        <v>Working...</v>
      </c>
    </row>
    <row r="9" customFormat="false" ht="18" hidden="false" customHeight="true" outlineLevel="0" collapsed="false">
      <c r="A9" s="109" t="s">
        <v>308</v>
      </c>
      <c r="B9" s="109" t="n">
        <f aca="false">Profile!C4+1</f>
        <v>31</v>
      </c>
      <c r="C9" s="110" t="n">
        <f aca="false">Investments!B36*12</f>
        <v>336000</v>
      </c>
      <c r="D9" s="110" t="n">
        <f aca="false">D8*(1+IFERROR(Investments!E18,0.1))+C9</f>
        <v>1166850</v>
      </c>
      <c r="E9" s="110" t="n">
        <f aca="false">D9</f>
        <v>1166850</v>
      </c>
      <c r="F9" s="110" t="n">
        <f aca="false">Profile!C30</f>
        <v>74171859.8872462</v>
      </c>
      <c r="G9" s="110" t="n">
        <f aca="false">E9-F9</f>
        <v>-73005009.8872462</v>
      </c>
      <c r="H9" s="111" t="n">
        <f aca="false">IFERROR(E9/F9,0)</f>
        <v>0.0157317074396383</v>
      </c>
      <c r="I9" s="112" t="str">
        <f aca="false">IF(E9&gt;=F9,"🏆 FREE!","Working...")</f>
        <v>Working...</v>
      </c>
    </row>
    <row r="10" customFormat="false" ht="18" hidden="false" customHeight="true" outlineLevel="0" collapsed="false">
      <c r="A10" s="105" t="s">
        <v>309</v>
      </c>
      <c r="B10" s="105" t="n">
        <f aca="false">Profile!C4+2</f>
        <v>32</v>
      </c>
      <c r="C10" s="106" t="n">
        <f aca="false">Investments!B36*12</f>
        <v>336000</v>
      </c>
      <c r="D10" s="106" t="n">
        <f aca="false">D9*(1+IFERROR(Investments!E18,0.1))+C10</f>
        <v>1611628.05592105</v>
      </c>
      <c r="E10" s="106" t="n">
        <f aca="false">D10</f>
        <v>1611628.05592105</v>
      </c>
      <c r="F10" s="106" t="n">
        <f aca="false">Profile!C30</f>
        <v>74171859.8872462</v>
      </c>
      <c r="G10" s="106" t="n">
        <f aca="false">E10-F10</f>
        <v>-72560231.8313252</v>
      </c>
      <c r="H10" s="107" t="n">
        <f aca="false">IFERROR(E10/F10,0)</f>
        <v>0.0217282950484321</v>
      </c>
      <c r="I10" s="113" t="str">
        <f aca="false">IF(E10&gt;=F10,"🏆 FREE!","Working...")</f>
        <v>Working...</v>
      </c>
    </row>
    <row r="11" customFormat="false" ht="18" hidden="false" customHeight="true" outlineLevel="0" collapsed="false">
      <c r="A11" s="109" t="s">
        <v>310</v>
      </c>
      <c r="B11" s="109" t="n">
        <f aca="false">Profile!C4+3</f>
        <v>33</v>
      </c>
      <c r="C11" s="110" t="n">
        <f aca="false">Investments!B36*12</f>
        <v>336000</v>
      </c>
      <c r="D11" s="110" t="n">
        <f aca="false">D10*(1+IFERROR(Investments!E18,0.1))+C11</f>
        <v>2097869.96087106</v>
      </c>
      <c r="E11" s="110" t="n">
        <f aca="false">D11</f>
        <v>2097869.96087106</v>
      </c>
      <c r="F11" s="110" t="n">
        <f aca="false">Profile!C30</f>
        <v>74171859.8872462</v>
      </c>
      <c r="G11" s="110" t="n">
        <f aca="false">E11-F11</f>
        <v>-72073989.9263752</v>
      </c>
      <c r="H11" s="111" t="n">
        <f aca="false">IFERROR(E11/F11,0)</f>
        <v>0.0282839066468089</v>
      </c>
      <c r="I11" s="112" t="str">
        <f aca="false">IF(E11&gt;=F11,"🏆 FREE!","Working...")</f>
        <v>Working...</v>
      </c>
    </row>
    <row r="12" customFormat="false" ht="18" hidden="false" customHeight="true" outlineLevel="0" collapsed="false">
      <c r="A12" s="105" t="s">
        <v>311</v>
      </c>
      <c r="B12" s="105" t="n">
        <f aca="false">Profile!C4+4</f>
        <v>34</v>
      </c>
      <c r="C12" s="106" t="n">
        <f aca="false">Investments!B36*12</f>
        <v>336000</v>
      </c>
      <c r="D12" s="106" t="n">
        <f aca="false">D11*(1+IFERROR(Investments!E18,0.1))+C12</f>
        <v>2629441.12761805</v>
      </c>
      <c r="E12" s="106" t="n">
        <f aca="false">D12</f>
        <v>2629441.12761805</v>
      </c>
      <c r="F12" s="106" t="n">
        <f aca="false">Profile!C30</f>
        <v>74171859.8872462</v>
      </c>
      <c r="G12" s="106" t="n">
        <f aca="false">E12-F12</f>
        <v>-71542418.7596282</v>
      </c>
      <c r="H12" s="107" t="n">
        <f aca="false">IFERROR(E12/F12,0)</f>
        <v>0.0354506565106396</v>
      </c>
      <c r="I12" s="113" t="str">
        <f aca="false">IF(E12&gt;=F12,"🏆 FREE!","Working...")</f>
        <v>Working...</v>
      </c>
    </row>
    <row r="13" customFormat="false" ht="18" hidden="false" customHeight="true" outlineLevel="0" collapsed="false">
      <c r="A13" s="109" t="s">
        <v>312</v>
      </c>
      <c r="B13" s="109" t="n">
        <f aca="false">Profile!C4+5</f>
        <v>35</v>
      </c>
      <c r="C13" s="110" t="n">
        <f aca="false">Investments!B36*12</f>
        <v>336000</v>
      </c>
      <c r="D13" s="110" t="n">
        <f aca="false">D12*(1+IFERROR(Investments!E18,0.1))+C13</f>
        <v>3210567.31694929</v>
      </c>
      <c r="E13" s="110" t="n">
        <f aca="false">D13</f>
        <v>3210567.31694929</v>
      </c>
      <c r="F13" s="110" t="n">
        <f aca="false">Profile!C30</f>
        <v>74171859.8872462</v>
      </c>
      <c r="G13" s="110" t="n">
        <f aca="false">E13-F13</f>
        <v>-70961292.5702969</v>
      </c>
      <c r="H13" s="111" t="n">
        <f aca="false">IFERROR(E13/F13,0)</f>
        <v>0.0432855172005919</v>
      </c>
      <c r="I13" s="112" t="str">
        <f aca="false">IF(E13&gt;=F13,"🏆 FREE!","Working...")</f>
        <v>Working...</v>
      </c>
    </row>
    <row r="14" customFormat="false" ht="18" hidden="false" customHeight="true" outlineLevel="0" collapsed="false">
      <c r="A14" s="105" t="s">
        <v>313</v>
      </c>
      <c r="B14" s="105" t="n">
        <f aca="false">Profile!C4+6</f>
        <v>36</v>
      </c>
      <c r="C14" s="106" t="n">
        <f aca="false">Investments!B36*12</f>
        <v>336000</v>
      </c>
      <c r="D14" s="106" t="n">
        <f aca="false">D13*(1+IFERROR(Investments!E18,0.1))+C14</f>
        <v>3845868.23064121</v>
      </c>
      <c r="E14" s="106" t="n">
        <f aca="false">D14</f>
        <v>3845868.23064121</v>
      </c>
      <c r="F14" s="106" t="n">
        <f aca="false">Profile!C30</f>
        <v>74171859.8872462</v>
      </c>
      <c r="G14" s="106" t="n">
        <f aca="false">E14-F14</f>
        <v>-70325991.656605</v>
      </c>
      <c r="H14" s="107" t="n">
        <f aca="false">IFERROR(E14/F14,0)</f>
        <v>0.0518507724693378</v>
      </c>
      <c r="I14" s="113" t="str">
        <f aca="false">IF(E14&gt;=F14,"🏆 FREE!","Working...")</f>
        <v>Working...</v>
      </c>
    </row>
    <row r="15" customFormat="false" ht="18" hidden="false" customHeight="true" outlineLevel="0" collapsed="false">
      <c r="A15" s="109" t="s">
        <v>314</v>
      </c>
      <c r="B15" s="109" t="n">
        <f aca="false">Profile!C4+7</f>
        <v>37</v>
      </c>
      <c r="C15" s="110" t="n">
        <f aca="false">Investments!B36*12</f>
        <v>336000</v>
      </c>
      <c r="D15" s="110" t="n">
        <f aca="false">D14*(1+IFERROR(Investments!E18,0.1))+C15</f>
        <v>4540394.2360898</v>
      </c>
      <c r="E15" s="110" t="n">
        <f aca="false">D15</f>
        <v>4540394.2360898</v>
      </c>
      <c r="F15" s="110" t="n">
        <f aca="false">Profile!C30</f>
        <v>74171859.8872462</v>
      </c>
      <c r="G15" s="110" t="n">
        <f aca="false">E15-F15</f>
        <v>-69631465.6511564</v>
      </c>
      <c r="H15" s="111" t="n">
        <f aca="false">IFERROR(E15/F15,0)</f>
        <v>0.0612145123904398</v>
      </c>
      <c r="I15" s="112" t="str">
        <f aca="false">IF(E15&gt;=F15,"🏆 FREE!","Working...")</f>
        <v>Working...</v>
      </c>
    </row>
    <row r="16" customFormat="false" ht="18" hidden="false" customHeight="true" outlineLevel="0" collapsed="false">
      <c r="A16" s="105" t="s">
        <v>315</v>
      </c>
      <c r="B16" s="105" t="n">
        <f aca="false">Profile!C4+8</f>
        <v>38</v>
      </c>
      <c r="C16" s="106" t="n">
        <f aca="false">Investments!B36*12</f>
        <v>336000</v>
      </c>
      <c r="D16" s="106" t="n">
        <f aca="false">D15*(1+IFERROR(Investments!E18,0.1))+C16</f>
        <v>5299666.51454633</v>
      </c>
      <c r="E16" s="106" t="n">
        <f aca="false">D16</f>
        <v>5299666.51454633</v>
      </c>
      <c r="F16" s="106" t="n">
        <f aca="false">Profile!C30</f>
        <v>74171859.8872462</v>
      </c>
      <c r="G16" s="106" t="n">
        <f aca="false">E16-F16</f>
        <v>-68872193.3726999</v>
      </c>
      <c r="H16" s="107" t="n">
        <f aca="false">IFERROR(E16/F16,0)</f>
        <v>0.0714511746449761</v>
      </c>
      <c r="I16" s="113" t="str">
        <f aca="false">IF(E16&gt;=F16,"🏆 FREE!","Working...")</f>
        <v>Working...</v>
      </c>
    </row>
    <row r="17" customFormat="false" ht="18" hidden="false" customHeight="true" outlineLevel="0" collapsed="false">
      <c r="A17" s="109" t="s">
        <v>316</v>
      </c>
      <c r="B17" s="109" t="n">
        <f aca="false">Profile!C4+9</f>
        <v>39</v>
      </c>
      <c r="C17" s="110" t="n">
        <f aca="false">Investments!B36*12</f>
        <v>336000</v>
      </c>
      <c r="D17" s="110" t="n">
        <f aca="false">D16*(1+IFERROR(Investments!E18,0.1))+C17</f>
        <v>6129720.9521195</v>
      </c>
      <c r="E17" s="110" t="n">
        <f aca="false">D17</f>
        <v>6129720.9521195</v>
      </c>
      <c r="F17" s="110" t="n">
        <f aca="false">Profile!C30</f>
        <v>74171859.8872462</v>
      </c>
      <c r="G17" s="110" t="n">
        <f aca="false">E17-F17</f>
        <v>-68042138.9351267</v>
      </c>
      <c r="H17" s="111" t="n">
        <f aca="false">IFERROR(E17/F17,0)</f>
        <v>0.0826421362688991</v>
      </c>
      <c r="I17" s="112" t="str">
        <f aca="false">IF(E17&gt;=F17,"🏆 FREE!","Working...")</f>
        <v>Working...</v>
      </c>
    </row>
    <row r="18" customFormat="false" ht="18" hidden="false" customHeight="true" outlineLevel="0" collapsed="false">
      <c r="A18" s="105" t="s">
        <v>317</v>
      </c>
      <c r="B18" s="105" t="n">
        <f aca="false">Profile!C4+10</f>
        <v>40</v>
      </c>
      <c r="C18" s="106" t="n">
        <f aca="false">Investments!B36*12</f>
        <v>336000</v>
      </c>
      <c r="D18" s="106" t="n">
        <f aca="false">D17*(1+IFERROR(Investments!E18,0.1))+C18</f>
        <v>7037156.12245853</v>
      </c>
      <c r="E18" s="106" t="n">
        <f aca="false">D18</f>
        <v>7037156.12245853</v>
      </c>
      <c r="F18" s="106" t="n">
        <f aca="false">Profile!C30</f>
        <v>74171859.8872462</v>
      </c>
      <c r="G18" s="106" t="n">
        <f aca="false">E18-F18</f>
        <v>-67134703.7647877</v>
      </c>
      <c r="H18" s="107" t="n">
        <f aca="false">IFERROR(E18/F18,0)</f>
        <v>0.0948763605652629</v>
      </c>
      <c r="I18" s="113" t="str">
        <f aca="false">IF(E18&gt;=F18,"🏆 FREE!","Working...")</f>
        <v>Working...</v>
      </c>
    </row>
    <row r="19" customFormat="false" ht="18" hidden="false" customHeight="true" outlineLevel="0" collapsed="false">
      <c r="A19" s="109" t="s">
        <v>318</v>
      </c>
      <c r="B19" s="109" t="n">
        <f aca="false">Profile!C4+11</f>
        <v>41</v>
      </c>
      <c r="C19" s="110" t="n">
        <f aca="false">Investments!B36*12</f>
        <v>336000</v>
      </c>
      <c r="D19" s="110" t="n">
        <f aca="false">D18*(1+IFERROR(Investments!E18,0.1))+C19</f>
        <v>8029185.74255878</v>
      </c>
      <c r="E19" s="110" t="n">
        <f aca="false">D19</f>
        <v>8029185.74255878</v>
      </c>
      <c r="F19" s="110" t="n">
        <f aca="false">Profile!C30</f>
        <v>74171859.8872462</v>
      </c>
      <c r="G19" s="110" t="n">
        <f aca="false">E19-F19</f>
        <v>-66142674.1446874</v>
      </c>
      <c r="H19" s="111" t="n">
        <f aca="false">IFERROR(E19/F19,0)</f>
        <v>0.108251104323992</v>
      </c>
      <c r="I19" s="112" t="str">
        <f aca="false">IF(E19&gt;=F19,"🏆 FREE!","Working...")</f>
        <v>Working...</v>
      </c>
    </row>
    <row r="20" customFormat="false" ht="18" hidden="false" customHeight="true" outlineLevel="0" collapsed="false">
      <c r="A20" s="105" t="s">
        <v>319</v>
      </c>
      <c r="B20" s="105" t="n">
        <f aca="false">Profile!C4+12</f>
        <v>42</v>
      </c>
      <c r="C20" s="106" t="n">
        <f aca="false">Investments!B36*12</f>
        <v>336000</v>
      </c>
      <c r="D20" s="106" t="n">
        <f aca="false">D19*(1+IFERROR(Investments!E18,0.1))+C20</f>
        <v>9113696.01869074</v>
      </c>
      <c r="E20" s="106" t="n">
        <f aca="false">D20</f>
        <v>9113696.01869074</v>
      </c>
      <c r="F20" s="106" t="n">
        <f aca="false">Profile!C30</f>
        <v>74171859.8872462</v>
      </c>
      <c r="G20" s="106" t="n">
        <f aca="false">E20-F20</f>
        <v>-65058163.8685555</v>
      </c>
      <c r="H20" s="107" t="n">
        <f aca="false">IFERROR(E20/F20,0)</f>
        <v>0.122872690971281</v>
      </c>
      <c r="I20" s="113" t="str">
        <f aca="false">IF(E20&gt;=F20,"🏆 FREE!","Working...")</f>
        <v>Working...</v>
      </c>
    </row>
    <row r="21" customFormat="false" ht="18" hidden="false" customHeight="true" outlineLevel="0" collapsed="false">
      <c r="A21" s="109" t="s">
        <v>320</v>
      </c>
      <c r="B21" s="109" t="n">
        <f aca="false">Profile!C4+13</f>
        <v>43</v>
      </c>
      <c r="C21" s="110" t="n">
        <f aca="false">Investments!B36*12</f>
        <v>336000</v>
      </c>
      <c r="D21" s="110" t="n">
        <f aca="false">D20*(1+IFERROR(Investments!E18,0.1))+C21</f>
        <v>10299308.3383279</v>
      </c>
      <c r="E21" s="110" t="n">
        <f aca="false">D21</f>
        <v>10299308.3383279</v>
      </c>
      <c r="F21" s="110" t="n">
        <f aca="false">Profile!C30</f>
        <v>74171859.8872462</v>
      </c>
      <c r="G21" s="110" t="n">
        <f aca="false">E21-F21</f>
        <v>-63872551.5489183</v>
      </c>
      <c r="H21" s="111" t="n">
        <f aca="false">IFERROR(E21/F21,0)</f>
        <v>0.138857355794834</v>
      </c>
      <c r="I21" s="112" t="str">
        <f aca="false">IF(E21&gt;=F21,"🏆 FREE!","Working...")</f>
        <v>Working...</v>
      </c>
    </row>
    <row r="22" customFormat="false" ht="18" hidden="false" customHeight="true" outlineLevel="0" collapsed="false">
      <c r="A22" s="105" t="s">
        <v>321</v>
      </c>
      <c r="B22" s="105" t="n">
        <f aca="false">Profile!C4+14</f>
        <v>44</v>
      </c>
      <c r="C22" s="106" t="n">
        <f aca="false">Investments!B36*12</f>
        <v>336000</v>
      </c>
      <c r="D22" s="106" t="n">
        <f aca="false">D21*(1+IFERROR(Investments!E18,0.1))+C22</f>
        <v>11595447.806447</v>
      </c>
      <c r="E22" s="106" t="n">
        <f aca="false">D22</f>
        <v>11595447.806447</v>
      </c>
      <c r="F22" s="106" t="n">
        <f aca="false">Profile!C30</f>
        <v>74171859.8872462</v>
      </c>
      <c r="G22" s="106" t="n">
        <f aca="false">E22-F22</f>
        <v>-62576412.0807992</v>
      </c>
      <c r="H22" s="107" t="n">
        <f aca="false">IFERROR(E22/F22,0)</f>
        <v>0.156332169964108</v>
      </c>
      <c r="I22" s="113" t="str">
        <f aca="false">IF(E22&gt;=F22,"🏆 FREE!","Working...")</f>
        <v>Working...</v>
      </c>
    </row>
    <row r="23" customFormat="false" ht="18" hidden="false" customHeight="true" outlineLevel="0" collapsed="false">
      <c r="A23" s="109" t="s">
        <v>322</v>
      </c>
      <c r="B23" s="109" t="n">
        <f aca="false">Profile!C4+15</f>
        <v>45</v>
      </c>
      <c r="C23" s="110" t="n">
        <f aca="false">Investments!B36*12</f>
        <v>336000</v>
      </c>
      <c r="D23" s="110" t="n">
        <f aca="false">D22*(1+IFERROR(Investments!E18,0.1))+C23</f>
        <v>13012418.1710349</v>
      </c>
      <c r="E23" s="110" t="n">
        <f aca="false">D23</f>
        <v>13012418.1710349</v>
      </c>
      <c r="F23" s="110" t="n">
        <f aca="false">Profile!C30</f>
        <v>74171859.8872462</v>
      </c>
      <c r="G23" s="110" t="n">
        <f aca="false">E23-F23</f>
        <v>-61159441.7162114</v>
      </c>
      <c r="H23" s="111" t="n">
        <f aca="false">IFERROR(E23/F23,0)</f>
        <v>0.175436050691137</v>
      </c>
      <c r="I23" s="112" t="str">
        <f aca="false">IF(E23&gt;=F23,"🏆 FREE!","Working...")</f>
        <v>Working...</v>
      </c>
    </row>
    <row r="24" customFormat="false" ht="18" hidden="false" customHeight="true" outlineLevel="0" collapsed="false">
      <c r="A24" s="105" t="s">
        <v>323</v>
      </c>
      <c r="B24" s="105" t="n">
        <f aca="false">Profile!C4+16</f>
        <v>46</v>
      </c>
      <c r="C24" s="106" t="n">
        <f aca="false">Investments!B36*12</f>
        <v>336000</v>
      </c>
      <c r="D24" s="106" t="n">
        <f aca="false">D23*(1+IFERROR(Investments!E18,0.1))+C24</f>
        <v>14561483.7334267</v>
      </c>
      <c r="E24" s="106" t="n">
        <f aca="false">D24</f>
        <v>14561483.7334267</v>
      </c>
      <c r="F24" s="106" t="n">
        <f aca="false">Profile!C30</f>
        <v>74171859.8872462</v>
      </c>
      <c r="G24" s="106" t="n">
        <f aca="false">E24-F24</f>
        <v>-59610376.1538195</v>
      </c>
      <c r="H24" s="107" t="n">
        <f aca="false">IFERROR(E24/F24,0)</f>
        <v>0.196320865562258</v>
      </c>
      <c r="I24" s="113" t="str">
        <f aca="false">IF(E24&gt;=F24,"🏆 FREE!","Working...")</f>
        <v>Working...</v>
      </c>
    </row>
    <row r="25" customFormat="false" ht="18" hidden="false" customHeight="true" outlineLevel="0" collapsed="false">
      <c r="A25" s="109" t="s">
        <v>324</v>
      </c>
      <c r="B25" s="109" t="n">
        <f aca="false">Profile!C4+17</f>
        <v>47</v>
      </c>
      <c r="C25" s="110" t="n">
        <f aca="false">Investments!B36*12</f>
        <v>336000</v>
      </c>
      <c r="D25" s="110" t="n">
        <f aca="false">D24*(1+IFERROR(Investments!E18,0.1))+C25</f>
        <v>16254958.8946284</v>
      </c>
      <c r="E25" s="110" t="n">
        <f aca="false">D25</f>
        <v>16254958.8946284</v>
      </c>
      <c r="F25" s="110" t="n">
        <f aca="false">Profile!C30</f>
        <v>74171859.8872462</v>
      </c>
      <c r="G25" s="110" t="n">
        <f aca="false">E25-F25</f>
        <v>-57916900.9926178</v>
      </c>
      <c r="H25" s="111" t="n">
        <f aca="false">IFERROR(E25/F25,0)</f>
        <v>0.21915263981972</v>
      </c>
      <c r="I25" s="112" t="str">
        <f aca="false">IF(E25&gt;=F25,"🏆 FREE!","Working...")</f>
        <v>Working...</v>
      </c>
    </row>
    <row r="26" customFormat="false" ht="18" hidden="false" customHeight="true" outlineLevel="0" collapsed="false">
      <c r="A26" s="105" t="s">
        <v>325</v>
      </c>
      <c r="B26" s="105" t="n">
        <f aca="false">Profile!C4+18</f>
        <v>48</v>
      </c>
      <c r="C26" s="106" t="n">
        <f aca="false">Investments!B36*12</f>
        <v>336000</v>
      </c>
      <c r="D26" s="106" t="n">
        <f aca="false">D25*(1+IFERROR(Investments!E18,0.1))+C26</f>
        <v>18106306.0494764</v>
      </c>
      <c r="E26" s="106" t="n">
        <f aca="false">D26</f>
        <v>18106306.0494764</v>
      </c>
      <c r="F26" s="106" t="n">
        <f aca="false">Profile!C30</f>
        <v>74171859.8872462</v>
      </c>
      <c r="G26" s="106" t="n">
        <f aca="false">E26-F26</f>
        <v>-56065553.8377699</v>
      </c>
      <c r="H26" s="107" t="n">
        <f aca="false">IFERROR(E26/F26,0)</f>
        <v>0.244112876190526</v>
      </c>
      <c r="I26" s="113" t="str">
        <f aca="false">IF(E26&gt;=F26,"🏆 FREE!","Working...")</f>
        <v>Working...</v>
      </c>
    </row>
    <row r="27" customFormat="false" ht="18" hidden="false" customHeight="true" outlineLevel="0" collapsed="false">
      <c r="A27" s="109" t="s">
        <v>326</v>
      </c>
      <c r="B27" s="109" t="n">
        <f aca="false">Profile!C4+19</f>
        <v>49</v>
      </c>
      <c r="C27" s="110" t="n">
        <f aca="false">Investments!B36*12</f>
        <v>336000</v>
      </c>
      <c r="D27" s="110" t="n">
        <f aca="false">D26*(1+IFERROR(Investments!E18,0.1))+C27</f>
        <v>20130242.6068519</v>
      </c>
      <c r="E27" s="110" t="n">
        <f aca="false">D27</f>
        <v>20130242.6068519</v>
      </c>
      <c r="F27" s="110" t="n">
        <f aca="false">Profile!C30</f>
        <v>74171859.8872462</v>
      </c>
      <c r="G27" s="110" t="n">
        <f aca="false">E27-F27</f>
        <v>-54041617.2803943</v>
      </c>
      <c r="H27" s="111" t="n">
        <f aca="false">IFERROR(E27/F27,0)</f>
        <v>0.271399997754583</v>
      </c>
      <c r="I27" s="112" t="str">
        <f aca="false">IF(E27&gt;=F27,"🏆 FREE!","Working...")</f>
        <v>Working...</v>
      </c>
    </row>
    <row r="28" customFormat="false" ht="18" hidden="false" customHeight="true" outlineLevel="0" collapsed="false">
      <c r="A28" s="105" t="s">
        <v>327</v>
      </c>
      <c r="B28" s="105" t="n">
        <f aca="false">Profile!C4+20</f>
        <v>50</v>
      </c>
      <c r="C28" s="106" t="n">
        <f aca="false">Investments!B36*12</f>
        <v>336000</v>
      </c>
      <c r="D28" s="106" t="n">
        <f aca="false">D27*(1+IFERROR(Investments!E18,0.1))+C28</f>
        <v>22342857.9867143</v>
      </c>
      <c r="E28" s="106" t="n">
        <f aca="false">D28</f>
        <v>22342857.9867143</v>
      </c>
      <c r="F28" s="106" t="n">
        <f aca="false">Profile!C30</f>
        <v>74171859.8872462</v>
      </c>
      <c r="G28" s="106" t="n">
        <f aca="false">E28-F28</f>
        <v>-51829001.9005319</v>
      </c>
      <c r="H28" s="107" t="n">
        <f aca="false">IFERROR(E28/F28,0)</f>
        <v>0.301230925322343</v>
      </c>
      <c r="I28" s="113" t="str">
        <f aca="false">IF(E28&gt;=F28,"🏆 FREE!","Working...")</f>
        <v>Working...</v>
      </c>
    </row>
    <row r="29" customFormat="false" ht="18" hidden="false" customHeight="true" outlineLevel="0" collapsed="false">
      <c r="A29" s="109" t="s">
        <v>328</v>
      </c>
      <c r="B29" s="109" t="n">
        <f aca="false">Profile!C4+21</f>
        <v>51</v>
      </c>
      <c r="C29" s="110" t="n">
        <f aca="false">Investments!B36*12</f>
        <v>336000</v>
      </c>
      <c r="D29" s="110" t="n">
        <f aca="false">D28*(1+IFERROR(Investments!E18,0.1))+C29</f>
        <v>24761741.5240284</v>
      </c>
      <c r="E29" s="110" t="n">
        <f aca="false">D29</f>
        <v>24761741.5240284</v>
      </c>
      <c r="F29" s="110" t="n">
        <f aca="false">Profile!C30</f>
        <v>74171859.8872462</v>
      </c>
      <c r="G29" s="110" t="n">
        <f aca="false">E29-F29</f>
        <v>-49410118.3632178</v>
      </c>
      <c r="H29" s="111" t="n">
        <f aca="false">IFERROR(E29/F29,0)</f>
        <v>0.333842801861386</v>
      </c>
      <c r="I29" s="112" t="str">
        <f aca="false">IF(E29&gt;=F29,"🏆 FREE!","Working...")</f>
        <v>Working...</v>
      </c>
    </row>
    <row r="30" customFormat="false" ht="18" hidden="false" customHeight="true" outlineLevel="0" collapsed="false">
      <c r="A30" s="105" t="s">
        <v>329</v>
      </c>
      <c r="B30" s="105" t="n">
        <f aca="false">Profile!C4+22</f>
        <v>52</v>
      </c>
      <c r="C30" s="106" t="n">
        <f aca="false">Investments!B36*12</f>
        <v>336000</v>
      </c>
      <c r="D30" s="106" t="n">
        <f aca="false">D29*(1+IFERROR(Investments!E18,0.1))+C30</f>
        <v>27406122.2963671</v>
      </c>
      <c r="E30" s="106" t="n">
        <f aca="false">D30</f>
        <v>27406122.2963671</v>
      </c>
      <c r="F30" s="106" t="n">
        <f aca="false">Profile!C30</f>
        <v>74171859.8872462</v>
      </c>
      <c r="G30" s="106" t="n">
        <f aca="false">E30-F30</f>
        <v>-46765737.5908791</v>
      </c>
      <c r="H30" s="107" t="n">
        <f aca="false">IFERROR(E30/F30,0)</f>
        <v>0.369494877680418</v>
      </c>
      <c r="I30" s="113" t="str">
        <f aca="false">IF(E30&gt;=F30,"🏆 FREE!","Working...")</f>
        <v>Working...</v>
      </c>
    </row>
    <row r="31" customFormat="false" ht="18" hidden="false" customHeight="true" outlineLevel="0" collapsed="false">
      <c r="A31" s="109" t="s">
        <v>330</v>
      </c>
      <c r="B31" s="109" t="n">
        <f aca="false">Profile!C4+23</f>
        <v>53</v>
      </c>
      <c r="C31" s="110" t="n">
        <f aca="false">Investments!B36*12</f>
        <v>336000</v>
      </c>
      <c r="D31" s="110" t="n">
        <f aca="false">D30*(1+IFERROR(Investments!E18,0.1))+C31</f>
        <v>30297021.9867587</v>
      </c>
      <c r="E31" s="110" t="n">
        <f aca="false">D31</f>
        <v>30297021.9867587</v>
      </c>
      <c r="F31" s="110" t="n">
        <f aca="false">Profile!C30</f>
        <v>74171859.8872462</v>
      </c>
      <c r="G31" s="110" t="n">
        <f aca="false">E31-F31</f>
        <v>-43874837.9004875</v>
      </c>
      <c r="H31" s="111" t="n">
        <f aca="false">IFERROR(E31/F31,0)</f>
        <v>0.408470571357052</v>
      </c>
      <c r="I31" s="112" t="str">
        <f aca="false">IF(E31&gt;=F31,"🏆 FREE!","Working...")</f>
        <v>Working...</v>
      </c>
    </row>
    <row r="32" customFormat="false" ht="18" hidden="false" customHeight="true" outlineLevel="0" collapsed="false">
      <c r="A32" s="105" t="s">
        <v>331</v>
      </c>
      <c r="B32" s="105" t="n">
        <f aca="false">Profile!C4+24</f>
        <v>54</v>
      </c>
      <c r="C32" s="106" t="n">
        <f aca="false">Investments!B36*12</f>
        <v>336000</v>
      </c>
      <c r="D32" s="106" t="n">
        <f aca="false">D31*(1+IFERROR(Investments!E18,0.1))+C32</f>
        <v>33457421.9969717</v>
      </c>
      <c r="E32" s="106" t="n">
        <f aca="false">D32</f>
        <v>33457421.9969717</v>
      </c>
      <c r="F32" s="106" t="n">
        <f aca="false">Profile!C30</f>
        <v>74171859.8872462</v>
      </c>
      <c r="G32" s="106" t="n">
        <f aca="false">E32-F32</f>
        <v>-40714437.8902746</v>
      </c>
      <c r="H32" s="107" t="n">
        <f aca="false">IFERROR(E32/F32,0)</f>
        <v>0.451079722792884</v>
      </c>
      <c r="I32" s="113" t="str">
        <f aca="false">IF(E32&gt;=F32,"🏆 FREE!","Working...")</f>
        <v>Working...</v>
      </c>
    </row>
    <row r="33" customFormat="false" ht="18" hidden="false" customHeight="true" outlineLevel="0" collapsed="false">
      <c r="A33" s="109" t="s">
        <v>332</v>
      </c>
      <c r="B33" s="109" t="n">
        <f aca="false">Profile!C4+25</f>
        <v>55</v>
      </c>
      <c r="C33" s="110" t="n">
        <f aca="false">Investments!B36*12</f>
        <v>336000</v>
      </c>
      <c r="D33" s="110" t="n">
        <f aca="false">D32*(1+IFERROR(Investments!E18,0.1))+C33</f>
        <v>36912446.1397157</v>
      </c>
      <c r="E33" s="110" t="n">
        <f aca="false">D33</f>
        <v>36912446.1397157</v>
      </c>
      <c r="F33" s="110" t="n">
        <f aca="false">Profile!C30</f>
        <v>74171859.8872462</v>
      </c>
      <c r="G33" s="110" t="n">
        <f aca="false">E33-F33</f>
        <v>-37259413.7475306</v>
      </c>
      <c r="H33" s="111" t="n">
        <f aca="false">IFERROR(E33/F33,0)</f>
        <v>0.497661056306648</v>
      </c>
      <c r="I33" s="112" t="str">
        <f aca="false">IF(E33&gt;=F33,"🏆 FREE!","Working...")</f>
        <v>Working...</v>
      </c>
    </row>
    <row r="34" customFormat="false" ht="18" hidden="false" customHeight="true" outlineLevel="0" collapsed="false">
      <c r="A34" s="105" t="s">
        <v>333</v>
      </c>
      <c r="B34" s="105" t="n">
        <f aca="false">Profile!C4+26</f>
        <v>56</v>
      </c>
      <c r="C34" s="106" t="n">
        <f aca="false">Investments!B36*12</f>
        <v>336000</v>
      </c>
      <c r="D34" s="106" t="n">
        <f aca="false">D33*(1+IFERROR(Investments!E18,0.1))+C34</f>
        <v>40689560.3620826</v>
      </c>
      <c r="E34" s="106" t="n">
        <f aca="false">D34</f>
        <v>40689560.3620826</v>
      </c>
      <c r="F34" s="106" t="n">
        <f aca="false">Profile!C30</f>
        <v>74171859.8872462</v>
      </c>
      <c r="G34" s="106" t="n">
        <f aca="false">E34-F34</f>
        <v>-33482299.5251636</v>
      </c>
      <c r="H34" s="107" t="n">
        <f aca="false">IFERROR(E34/F34,0)</f>
        <v>0.548584873346005</v>
      </c>
      <c r="I34" s="113" t="str">
        <f aca="false">IF(E34&gt;=F34,"🏆 FREE!","Working...")</f>
        <v>Working...</v>
      </c>
    </row>
    <row r="35" customFormat="false" ht="18" hidden="false" customHeight="true" outlineLevel="0" collapsed="false">
      <c r="A35" s="109" t="s">
        <v>334</v>
      </c>
      <c r="B35" s="109" t="n">
        <f aca="false">Profile!C4+27</f>
        <v>57</v>
      </c>
      <c r="C35" s="110" t="n">
        <f aca="false">Investments!B36*12</f>
        <v>336000</v>
      </c>
      <c r="D35" s="110" t="n">
        <f aca="false">D34*(1+IFERROR(Investments!E18,0.1))+C35</f>
        <v>44818791.0879425</v>
      </c>
      <c r="E35" s="110" t="n">
        <f aca="false">D35</f>
        <v>44818791.0879425</v>
      </c>
      <c r="F35" s="110" t="n">
        <f aca="false">Profile!C30</f>
        <v>74171859.8872462</v>
      </c>
      <c r="G35" s="110" t="n">
        <f aca="false">E35-F35</f>
        <v>-29353068.7993037</v>
      </c>
      <c r="H35" s="111" t="n">
        <f aca="false">IFERROR(E35/F35,0)</f>
        <v>0.604255996223833</v>
      </c>
      <c r="I35" s="112" t="str">
        <f aca="false">IF(E35&gt;=F35,"🏆 FREE!","Working...")</f>
        <v>Working...</v>
      </c>
    </row>
    <row r="36" customFormat="false" ht="18" hidden="false" customHeight="true" outlineLevel="0" collapsed="false">
      <c r="A36" s="105" t="s">
        <v>335</v>
      </c>
      <c r="B36" s="105" t="n">
        <f aca="false">Profile!C4+28</f>
        <v>58</v>
      </c>
      <c r="C36" s="106" t="n">
        <f aca="false">Investments!B36*12</f>
        <v>336000</v>
      </c>
      <c r="D36" s="106" t="n">
        <f aca="false">D35*(1+IFERROR(Investments!E18,0.1))+C36</f>
        <v>49332963.9150224</v>
      </c>
      <c r="E36" s="106" t="n">
        <f aca="false">D36</f>
        <v>49332963.9150224</v>
      </c>
      <c r="F36" s="106" t="n">
        <f aca="false">Profile!C30</f>
        <v>74171859.8872462</v>
      </c>
      <c r="G36" s="106" t="n">
        <f aca="false">E36-F36</f>
        <v>-24838895.9722238</v>
      </c>
      <c r="H36" s="107" t="n">
        <f aca="false">IFERROR(E36/F36,0)</f>
        <v>0.665116986280469</v>
      </c>
      <c r="I36" s="113" t="str">
        <f aca="false">IF(E36&gt;=F36,"🏆 FREE!","Working...")</f>
        <v>Working...</v>
      </c>
    </row>
    <row r="37" customFormat="false" ht="18" hidden="false" customHeight="true" outlineLevel="0" collapsed="false">
      <c r="A37" s="109" t="s">
        <v>336</v>
      </c>
      <c r="B37" s="109" t="n">
        <f aca="false">Profile!C4+29</f>
        <v>59</v>
      </c>
      <c r="C37" s="110" t="n">
        <f aca="false">Investments!B36*12</f>
        <v>336000</v>
      </c>
      <c r="D37" s="110" t="n">
        <f aca="false">D36*(1+IFERROR(Investments!E18,0.1))+C37</f>
        <v>54267964.5642058</v>
      </c>
      <c r="E37" s="110" t="n">
        <f aca="false">D37</f>
        <v>54267964.5642058</v>
      </c>
      <c r="F37" s="110" t="n">
        <f aca="false">Profile!C30</f>
        <v>74171859.8872462</v>
      </c>
      <c r="G37" s="110" t="n">
        <f aca="false">E37-F37</f>
        <v>-19903895.3230405</v>
      </c>
      <c r="H37" s="111" t="n">
        <f aca="false">IFERROR(E37/F37,0)</f>
        <v>0.731651662054885</v>
      </c>
      <c r="I37" s="112" t="str">
        <f aca="false">IF(E37&gt;=F37,"🏆 FREE!","Working...")</f>
        <v>Working...</v>
      </c>
    </row>
    <row r="38" customFormat="false" ht="18" hidden="false" customHeight="true" outlineLevel="0" collapsed="false">
      <c r="A38" s="105" t="s">
        <v>337</v>
      </c>
      <c r="B38" s="105" t="n">
        <f aca="false">Profile!C4+30</f>
        <v>60</v>
      </c>
      <c r="C38" s="106" t="n">
        <f aca="false">Investments!B36*12</f>
        <v>336000</v>
      </c>
      <c r="D38" s="106" t="n">
        <f aca="false">D37*(1+IFERROR(Investments!E18,0.1))+C38</f>
        <v>59663024.1554873</v>
      </c>
      <c r="E38" s="106" t="n">
        <f aca="false">D38</f>
        <v>59663024.1554873</v>
      </c>
      <c r="F38" s="106" t="n">
        <f aca="false">Profile!C30</f>
        <v>74171859.8872462</v>
      </c>
      <c r="G38" s="106" t="n">
        <f aca="false">E38-F38</f>
        <v>-14508835.7317589</v>
      </c>
      <c r="H38" s="107" t="n">
        <f aca="false">IFERROR(E38/F38,0)</f>
        <v>0.804388945432745</v>
      </c>
      <c r="I38" s="113" t="str">
        <f aca="false">IF(E38&gt;=F38,"🏆 FREE!","Working...")</f>
        <v>Working...</v>
      </c>
    </row>
    <row r="39" customFormat="false" ht="18" hidden="false" customHeight="true" outlineLevel="0" collapsed="false">
      <c r="A39" s="109" t="s">
        <v>338</v>
      </c>
      <c r="B39" s="109" t="n">
        <f aca="false">Profile!C4+31</f>
        <v>61</v>
      </c>
      <c r="C39" s="110" t="n">
        <f aca="false">Investments!B36*12</f>
        <v>336000</v>
      </c>
      <c r="D39" s="110" t="n">
        <f aca="false">D38*(1+IFERROR(Investments!E18,0.1))+C39</f>
        <v>65561031.0784035</v>
      </c>
      <c r="E39" s="110" t="n">
        <f aca="false">D39</f>
        <v>65561031.0784035</v>
      </c>
      <c r="F39" s="110" t="n">
        <f aca="false">Profile!C30</f>
        <v>74171859.8872462</v>
      </c>
      <c r="G39" s="110" t="n">
        <f aca="false">E39-F39</f>
        <v>-8610828.80884276</v>
      </c>
      <c r="H39" s="111" t="n">
        <f aca="false">IFERROR(E39/F39,0)</f>
        <v>0.883907066346554</v>
      </c>
      <c r="I39" s="112" t="str">
        <f aca="false">IF(E39&gt;=F39,"🏆 FREE!","Working...")</f>
        <v>Working...</v>
      </c>
    </row>
    <row r="40" customFormat="false" ht="18" hidden="false" customHeight="true" outlineLevel="0" collapsed="false">
      <c r="A40" s="105" t="s">
        <v>339</v>
      </c>
      <c r="B40" s="105" t="n">
        <f aca="false">Profile!C4+32</f>
        <v>62</v>
      </c>
      <c r="C40" s="106" t="n">
        <f aca="false">Investments!B36*12</f>
        <v>336000</v>
      </c>
      <c r="D40" s="106" t="n">
        <f aca="false">D39*(1+IFERROR(Investments!E18,0.1))+C40</f>
        <v>72008871.9361731</v>
      </c>
      <c r="E40" s="106" t="n">
        <f aca="false">D40</f>
        <v>72008871.9361731</v>
      </c>
      <c r="F40" s="106" t="n">
        <f aca="false">Profile!C30</f>
        <v>74171859.8872462</v>
      </c>
      <c r="G40" s="106" t="n">
        <f aca="false">E40-F40</f>
        <v>-2162987.95107317</v>
      </c>
      <c r="H40" s="107" t="n">
        <f aca="false">IFERROR(E40/F40,0)</f>
        <v>0.970838159453447</v>
      </c>
      <c r="I40" s="113" t="str">
        <f aca="false">IF(E40&gt;=F40,"🏆 FREE!","Working...")</f>
        <v>Working...</v>
      </c>
    </row>
    <row r="41" customFormat="false" ht="18" hidden="false" customHeight="true" outlineLevel="0" collapsed="false">
      <c r="A41" s="109" t="s">
        <v>340</v>
      </c>
      <c r="B41" s="109" t="n">
        <f aca="false">Profile!C4+33</f>
        <v>63</v>
      </c>
      <c r="C41" s="110" t="n">
        <f aca="false">Investments!B36*12</f>
        <v>336000</v>
      </c>
      <c r="D41" s="110" t="n">
        <f aca="false">D40*(1+IFERROR(Investments!E18,0.1))+C41</f>
        <v>79057804.2739071</v>
      </c>
      <c r="E41" s="110" t="n">
        <f aca="false">D41</f>
        <v>79057804.2739071</v>
      </c>
      <c r="F41" s="110" t="n">
        <f aca="false">Profile!C30</f>
        <v>74171859.8872462</v>
      </c>
      <c r="G41" s="110" t="n">
        <f aca="false">E41-F41</f>
        <v>4885944.38666086</v>
      </c>
      <c r="H41" s="111" t="n">
        <f aca="false">IFERROR(E41/F41,0)</f>
        <v>1.06587328933221</v>
      </c>
      <c r="I41" s="112" t="str">
        <f aca="false">IF(E41&gt;=F41,"🏆 FREE!","Working...")</f>
        <v>🏆 FREE!</v>
      </c>
    </row>
    <row r="42" customFormat="false" ht="18" hidden="false" customHeight="true" outlineLevel="0" collapsed="false">
      <c r="A42" s="105" t="s">
        <v>341</v>
      </c>
      <c r="B42" s="105" t="n">
        <f aca="false">Profile!C4+34</f>
        <v>64</v>
      </c>
      <c r="C42" s="106" t="n">
        <f aca="false">Investments!B36*12</f>
        <v>336000</v>
      </c>
      <c r="D42" s="106" t="n">
        <f aca="false">D41*(1+IFERROR(Investments!E18,0.1))+C42</f>
        <v>86763864.0539154</v>
      </c>
      <c r="E42" s="106" t="n">
        <f aca="false">D42</f>
        <v>86763864.0539154</v>
      </c>
      <c r="F42" s="106" t="n">
        <f aca="false">Profile!C30</f>
        <v>74171859.8872462</v>
      </c>
      <c r="G42" s="106" t="n">
        <f aca="false">E42-F42</f>
        <v>12592004.1666692</v>
      </c>
      <c r="H42" s="107" t="n">
        <f aca="false">IFERROR(E42/F42,0)</f>
        <v>1.1697679441477</v>
      </c>
      <c r="I42" s="113" t="str">
        <f aca="false">IF(E42&gt;=F42,"🏆 FREE!","Working...")</f>
        <v>🏆 FREE!</v>
      </c>
    </row>
    <row r="43" customFormat="false" ht="18" hidden="false" customHeight="true" outlineLevel="0" collapsed="false">
      <c r="A43" s="109" t="s">
        <v>342</v>
      </c>
      <c r="B43" s="109" t="n">
        <f aca="false">Profile!C4+35</f>
        <v>65</v>
      </c>
      <c r="C43" s="110" t="n">
        <f aca="false">Investments!B36*12</f>
        <v>336000</v>
      </c>
      <c r="D43" s="110" t="n">
        <f aca="false">D42*(1+IFERROR(Investments!E18,0.1))+C43</f>
        <v>95188311.1173626</v>
      </c>
      <c r="E43" s="110" t="n">
        <f aca="false">D43</f>
        <v>95188311.1173626</v>
      </c>
      <c r="F43" s="110" t="n">
        <f aca="false">Profile!C30</f>
        <v>74171859.8872462</v>
      </c>
      <c r="G43" s="110" t="n">
        <f aca="false">E43-F43</f>
        <v>21016451.2301164</v>
      </c>
      <c r="H43" s="111" t="n">
        <f aca="false">IFERROR(E43/F43,0)</f>
        <v>1.28334804145487</v>
      </c>
      <c r="I43" s="112" t="str">
        <f aca="false">IF(E43&gt;=F43,"🏆 FREE!","Working...")</f>
        <v>🏆 FREE!</v>
      </c>
    </row>
    <row r="44" customFormat="false" ht="18" hidden="false" customHeight="true" outlineLevel="0" collapsed="false">
      <c r="A44" s="105" t="s">
        <v>343</v>
      </c>
      <c r="B44" s="105" t="n">
        <f aca="false">Profile!C4+36</f>
        <v>66</v>
      </c>
      <c r="C44" s="106" t="n">
        <f aca="false">Investments!B36*12</f>
        <v>336000</v>
      </c>
      <c r="D44" s="106" t="n">
        <f aca="false">D43*(1+IFERROR(Investments!E18,0.1))+C44</f>
        <v>104398116.173501</v>
      </c>
      <c r="E44" s="106" t="n">
        <f aca="false">D44</f>
        <v>104398116.173501</v>
      </c>
      <c r="F44" s="106" t="n">
        <f aca="false">Profile!C30</f>
        <v>74171859.8872462</v>
      </c>
      <c r="G44" s="106" t="n">
        <f aca="false">E44-F44</f>
        <v>30226256.2862548</v>
      </c>
      <c r="H44" s="107" t="n">
        <f aca="false">IFERROR(E44/F44,0)</f>
        <v>1.40751649388601</v>
      </c>
      <c r="I44" s="113" t="str">
        <f aca="false">IF(E44&gt;=F44,"🏆 FREE!","Working...")</f>
        <v>🏆 FREE!</v>
      </c>
    </row>
    <row r="45" customFormat="false" ht="18" hidden="false" customHeight="true" outlineLevel="0" collapsed="false">
      <c r="A45" s="109" t="s">
        <v>344</v>
      </c>
      <c r="B45" s="109" t="n">
        <f aca="false">Profile!C4+37</f>
        <v>67</v>
      </c>
      <c r="C45" s="110" t="n">
        <f aca="false">Investments!B36*12</f>
        <v>336000</v>
      </c>
      <c r="D45" s="110" t="n">
        <f aca="false">D44*(1+IFERROR(Investments!E18,0.1))+C45</f>
        <v>114466493.187833</v>
      </c>
      <c r="E45" s="110" t="n">
        <f aca="false">D45</f>
        <v>114466493.187833</v>
      </c>
      <c r="F45" s="110" t="n">
        <f aca="false">Profile!C30</f>
        <v>74171859.8872462</v>
      </c>
      <c r="G45" s="110" t="n">
        <f aca="false">E45-F45</f>
        <v>40294633.300587</v>
      </c>
      <c r="H45" s="111" t="n">
        <f aca="false">IFERROR(E45/F45,0)</f>
        <v>1.54326038691549</v>
      </c>
      <c r="I45" s="112" t="str">
        <f aca="false">IF(E45&gt;=F45,"🏆 FREE!","Working...")</f>
        <v>🏆 FREE!</v>
      </c>
    </row>
    <row r="46" customFormat="false" ht="18" hidden="false" customHeight="true" outlineLevel="0" collapsed="false">
      <c r="A46" s="105" t="s">
        <v>345</v>
      </c>
      <c r="B46" s="105" t="n">
        <f aca="false">Profile!C4+38</f>
        <v>68</v>
      </c>
      <c r="C46" s="106" t="n">
        <f aca="false">Investments!B36*12</f>
        <v>336000</v>
      </c>
      <c r="D46" s="106" t="n">
        <f aca="false">D45*(1+IFERROR(Investments!E18,0.1))+C46</f>
        <v>125473481.401462</v>
      </c>
      <c r="E46" s="106" t="n">
        <f aca="false">D46</f>
        <v>125473481.401462</v>
      </c>
      <c r="F46" s="106" t="n">
        <f aca="false">Profile!C30</f>
        <v>74171859.8872462</v>
      </c>
      <c r="G46" s="106" t="n">
        <f aca="false">E46-F46</f>
        <v>51301621.514216</v>
      </c>
      <c r="H46" s="107" t="n">
        <f aca="false">IFERROR(E46/F46,0)</f>
        <v>1.69165882576227</v>
      </c>
      <c r="I46" s="113" t="str">
        <f aca="false">IF(E46&gt;=F46,"🏆 FREE!","Working...")</f>
        <v>🏆 FREE!</v>
      </c>
    </row>
    <row r="47" customFormat="false" ht="18" hidden="false" customHeight="true" outlineLevel="0" collapsed="false">
      <c r="A47" s="109" t="s">
        <v>346</v>
      </c>
      <c r="B47" s="109" t="n">
        <f aca="false">Profile!C4+39</f>
        <v>69</v>
      </c>
      <c r="C47" s="110" t="n">
        <f aca="false">Investments!B36*12</f>
        <v>336000</v>
      </c>
      <c r="D47" s="110" t="n">
        <f aca="false">D46*(1+IFERROR(Investments!E18,0.1))+C47</f>
        <v>137506581.608427</v>
      </c>
      <c r="E47" s="110" t="n">
        <f aca="false">D47</f>
        <v>137506581.608427</v>
      </c>
      <c r="F47" s="110" t="n">
        <f aca="false">Profile!C30</f>
        <v>74171859.8872462</v>
      </c>
      <c r="G47" s="110" t="n">
        <f aca="false">E47-F47</f>
        <v>63334721.7211812</v>
      </c>
      <c r="H47" s="111" t="n">
        <f aca="false">IFERROR(E47/F47,0)</f>
        <v>1.85389151380943</v>
      </c>
      <c r="I47" s="112" t="str">
        <f aca="false">IF(E47&gt;=F47,"🏆 FREE!","Working...")</f>
        <v>🏆 FREE!</v>
      </c>
    </row>
    <row r="48" customFormat="false" ht="18" hidden="false" customHeight="true" outlineLevel="0" collapsed="false">
      <c r="A48" s="105" t="s">
        <v>347</v>
      </c>
      <c r="B48" s="105" t="n">
        <f aca="false">Profile!C4+40</f>
        <v>70</v>
      </c>
      <c r="C48" s="106" t="n">
        <f aca="false">Investments!B36*12</f>
        <v>336000</v>
      </c>
      <c r="D48" s="106" t="n">
        <f aca="false">D47*(1+IFERROR(Investments!E18,0.1))+C48</f>
        <v>150661451.74916</v>
      </c>
      <c r="E48" s="106" t="n">
        <f aca="false">D48</f>
        <v>150661451.74916</v>
      </c>
      <c r="F48" s="106" t="n">
        <f aca="false">Profile!C30</f>
        <v>74171859.8872462</v>
      </c>
      <c r="G48" s="106" t="n">
        <f aca="false">E48-F48</f>
        <v>76489591.8619143</v>
      </c>
      <c r="H48" s="107" t="n">
        <f aca="false">IFERROR(E48/F48,0)</f>
        <v>2.03124813073572</v>
      </c>
      <c r="I48" s="113" t="str">
        <f aca="false">IF(E48&gt;=F48,"🏆 FREE!","Working...")</f>
        <v>🏆 FREE!</v>
      </c>
    </row>
    <row r="49" customFormat="false" ht="18" hidden="false" customHeight="true" outlineLevel="0" collapsed="false">
      <c r="A49" s="109" t="s">
        <v>348</v>
      </c>
      <c r="B49" s="109" t="n">
        <f aca="false">Profile!C4+41</f>
        <v>71</v>
      </c>
      <c r="C49" s="110" t="n">
        <f aca="false">Investments!B36*12</f>
        <v>336000</v>
      </c>
      <c r="D49" s="110" t="n">
        <f aca="false">D48*(1+IFERROR(Investments!E18,0.1))+C49</f>
        <v>165042667.349724</v>
      </c>
      <c r="E49" s="110" t="n">
        <f aca="false">D49</f>
        <v>165042667.349724</v>
      </c>
      <c r="F49" s="110" t="n">
        <f aca="false">Profile!C30</f>
        <v>74171859.8872462</v>
      </c>
      <c r="G49" s="110" t="n">
        <f aca="false">E49-F49</f>
        <v>90870807.4624774</v>
      </c>
      <c r="H49" s="111" t="n">
        <f aca="false">IFERROR(E49/F49,0)</f>
        <v>2.225138584911</v>
      </c>
      <c r="I49" s="112" t="str">
        <f aca="false">IF(E49&gt;=F49,"🏆 FREE!","Working...")</f>
        <v>🏆 FREE!</v>
      </c>
    </row>
    <row r="50" customFormat="false" ht="18" hidden="false" customHeight="true" outlineLevel="0" collapsed="false">
      <c r="A50" s="105" t="s">
        <v>349</v>
      </c>
      <c r="B50" s="105" t="n">
        <f aca="false">Profile!C4+42</f>
        <v>72</v>
      </c>
      <c r="C50" s="106" t="n">
        <f aca="false">Investments!B36*12</f>
        <v>336000</v>
      </c>
      <c r="D50" s="106" t="n">
        <f aca="false">D49*(1+IFERROR(Investments!E18,0.1))+C50</f>
        <v>180764552.851997</v>
      </c>
      <c r="E50" s="106" t="n">
        <f aca="false">D50</f>
        <v>180764552.851997</v>
      </c>
      <c r="F50" s="106" t="n">
        <f aca="false">Profile!C30</f>
        <v>74171859.8872462</v>
      </c>
      <c r="G50" s="106" t="n">
        <f aca="false">E50-F50</f>
        <v>106592692.964751</v>
      </c>
      <c r="H50" s="107" t="n">
        <f aca="false">IFERROR(E50/F50,0)</f>
        <v>2.43710422155774</v>
      </c>
      <c r="I50" s="113" t="str">
        <f aca="false">IF(E50&gt;=F50,"🏆 FREE!","Working...")</f>
        <v>🏆 FREE!</v>
      </c>
    </row>
    <row r="51" customFormat="false" ht="18" hidden="false" customHeight="true" outlineLevel="0" collapsed="false">
      <c r="A51" s="109" t="s">
        <v>350</v>
      </c>
      <c r="B51" s="109" t="n">
        <f aca="false">Profile!C4+43</f>
        <v>73</v>
      </c>
      <c r="C51" s="110" t="n">
        <f aca="false">Investments!B36*12</f>
        <v>336000</v>
      </c>
      <c r="D51" s="110" t="n">
        <f aca="false">D50*(1+IFERROR(Investments!E18,0.1))+C51</f>
        <v>197952090.443529</v>
      </c>
      <c r="E51" s="110" t="n">
        <f aca="false">D51</f>
        <v>197952090.443529</v>
      </c>
      <c r="F51" s="110" t="n">
        <f aca="false">Profile!C30</f>
        <v>74171859.8872462</v>
      </c>
      <c r="G51" s="110" t="n">
        <f aca="false">E51-F51</f>
        <v>123780230.556283</v>
      </c>
      <c r="H51" s="111" t="n">
        <f aca="false">IFERROR(E51/F51,0)</f>
        <v>2.66883007577873</v>
      </c>
      <c r="I51" s="112" t="str">
        <f aca="false">IF(E51&gt;=F51,"🏆 FREE!","Working...")</f>
        <v>🏆 FREE!</v>
      </c>
    </row>
    <row r="52" customFormat="false" ht="18" hidden="false" customHeight="true" outlineLevel="0" collapsed="false">
      <c r="A52" s="105" t="s">
        <v>351</v>
      </c>
      <c r="B52" s="105" t="n">
        <f aca="false">Profile!C4+44</f>
        <v>74</v>
      </c>
      <c r="C52" s="106" t="n">
        <f aca="false">Investments!B36*12</f>
        <v>336000</v>
      </c>
      <c r="D52" s="106" t="n">
        <f aca="false">D51*(1+IFERROR(Investments!E18,0.1))+C52</f>
        <v>216741913.61185</v>
      </c>
      <c r="E52" s="106" t="n">
        <f aca="false">D52</f>
        <v>216741913.61185</v>
      </c>
      <c r="F52" s="106" t="n">
        <f aca="false">Profile!C30</f>
        <v>74171859.8872462</v>
      </c>
      <c r="G52" s="106" t="n">
        <f aca="false">E52-F52</f>
        <v>142570053.724604</v>
      </c>
      <c r="H52" s="107" t="n">
        <f aca="false">IFERROR(E52/F52,0)</f>
        <v>2.92215826785703</v>
      </c>
      <c r="I52" s="113" t="str">
        <f aca="false">IF(E52&gt;=F52,"🏆 FREE!","Working...")</f>
        <v>🏆 FREE!</v>
      </c>
    </row>
    <row r="53" customFormat="false" ht="18" hidden="false" customHeight="true" outlineLevel="0" collapsed="false">
      <c r="A53" s="109" t="s">
        <v>352</v>
      </c>
      <c r="B53" s="109" t="n">
        <f aca="false">Profile!C4+45</f>
        <v>75</v>
      </c>
      <c r="C53" s="110" t="n">
        <f aca="false">Investments!B36*12</f>
        <v>336000</v>
      </c>
      <c r="D53" s="110" t="n">
        <f aca="false">D52*(1+IFERROR(Investments!E18,0.1))+C53</f>
        <v>237283393.321586</v>
      </c>
      <c r="E53" s="110" t="n">
        <f aca="false">D53</f>
        <v>237283393.321586</v>
      </c>
      <c r="F53" s="110" t="n">
        <f aca="false">Profile!C30</f>
        <v>74171859.8872462</v>
      </c>
      <c r="G53" s="110" t="n">
        <f aca="false">E53-F53</f>
        <v>163111533.43434</v>
      </c>
      <c r="H53" s="111" t="n">
        <f aca="false">IFERROR(E53/F53,0)</f>
        <v>3.19910264731526</v>
      </c>
      <c r="I53" s="112" t="str">
        <f aca="false">IF(E53&gt;=F53,"🏆 FREE!","Working...")</f>
        <v>🏆 FREE!</v>
      </c>
    </row>
    <row r="54" customFormat="false" ht="18" hidden="false" customHeight="true" outlineLevel="0" collapsed="false">
      <c r="A54" s="105" t="s">
        <v>353</v>
      </c>
      <c r="B54" s="105" t="n">
        <f aca="false">Profile!C4+46</f>
        <v>76</v>
      </c>
      <c r="C54" s="106" t="n">
        <f aca="false">Investments!B36*12</f>
        <v>336000</v>
      </c>
      <c r="D54" s="106" t="n">
        <f aca="false">D53*(1+IFERROR(Investments!E18,0.1))+C54</f>
        <v>259739825.449</v>
      </c>
      <c r="E54" s="106" t="n">
        <f aca="false">D54</f>
        <v>259739825.449</v>
      </c>
      <c r="F54" s="106" t="n">
        <f aca="false">Profile!C30</f>
        <v>74171859.8872462</v>
      </c>
      <c r="G54" s="106" t="n">
        <f aca="false">E54-F54</f>
        <v>185567965.561754</v>
      </c>
      <c r="H54" s="107" t="n">
        <f aca="false">IFERROR(E54/F54,0)</f>
        <v>3.50186480214799</v>
      </c>
      <c r="I54" s="113" t="str">
        <f aca="false">IF(E54&gt;=F54,"🏆 FREE!","Working...")</f>
        <v>🏆 FREE!</v>
      </c>
    </row>
    <row r="55" customFormat="false" ht="18" hidden="false" customHeight="true" outlineLevel="0" collapsed="false">
      <c r="A55" s="109" t="s">
        <v>354</v>
      </c>
      <c r="B55" s="109" t="n">
        <f aca="false">Profile!C4+47</f>
        <v>77</v>
      </c>
      <c r="C55" s="110" t="n">
        <f aca="false">Investments!B36*12</f>
        <v>336000</v>
      </c>
      <c r="D55" s="110" t="n">
        <f aca="false">D54*(1+IFERROR(Investments!E18,0.1))+C55</f>
        <v>284289728.913555</v>
      </c>
      <c r="E55" s="110" t="n">
        <f aca="false">D55</f>
        <v>284289728.913555</v>
      </c>
      <c r="F55" s="110" t="n">
        <f aca="false">Profile!C30</f>
        <v>74171859.8872462</v>
      </c>
      <c r="G55" s="110" t="n">
        <f aca="false">E55-F55</f>
        <v>210117869.026308</v>
      </c>
      <c r="H55" s="111" t="n">
        <f aca="false">IFERROR(E55/F55,0)</f>
        <v>3.83285156049374</v>
      </c>
      <c r="I55" s="112" t="str">
        <f aca="false">IF(E55&gt;=F55,"🏆 FREE!","Working...")</f>
        <v>🏆 FREE!</v>
      </c>
    </row>
    <row r="56" customFormat="false" ht="18" hidden="false" customHeight="true" outlineLevel="0" collapsed="false">
      <c r="A56" s="105" t="s">
        <v>355</v>
      </c>
      <c r="B56" s="105" t="n">
        <f aca="false">Profile!C4+48</f>
        <v>78</v>
      </c>
      <c r="C56" s="106" t="n">
        <f aca="false">Investments!B36*12</f>
        <v>336000</v>
      </c>
      <c r="D56" s="106" t="n">
        <f aca="false">D55*(1+IFERROR(Investments!E18,0.1))+C56</f>
        <v>311128264.826088</v>
      </c>
      <c r="E56" s="106" t="n">
        <f aca="false">D56</f>
        <v>311128264.826088</v>
      </c>
      <c r="F56" s="106" t="n">
        <f aca="false">Profile!C30</f>
        <v>74171859.8872462</v>
      </c>
      <c r="G56" s="106" t="n">
        <f aca="false">E56-F56</f>
        <v>236956404.938842</v>
      </c>
      <c r="H56" s="107" t="n">
        <f aca="false">IFERROR(E56/F56,0)</f>
        <v>4.19469412387738</v>
      </c>
      <c r="I56" s="113" t="str">
        <f aca="false">IF(E56&gt;=F56,"🏆 FREE!","Working...")</f>
        <v>🏆 FREE!</v>
      </c>
    </row>
    <row r="57" customFormat="false" ht="18" hidden="false" customHeight="true" outlineLevel="0" collapsed="false">
      <c r="A57" s="109" t="s">
        <v>356</v>
      </c>
      <c r="B57" s="109" t="n">
        <f aca="false">Profile!C4+49</f>
        <v>79</v>
      </c>
      <c r="C57" s="110" t="n">
        <f aca="false">Investments!B36*12</f>
        <v>336000</v>
      </c>
      <c r="D57" s="110" t="n">
        <f aca="false">D56*(1+IFERROR(Investments!E18,0.1))+C57</f>
        <v>340468787.935204</v>
      </c>
      <c r="E57" s="110" t="n">
        <f aca="false">D57</f>
        <v>340468787.935204</v>
      </c>
      <c r="F57" s="110" t="n">
        <f aca="false">Profile!C30</f>
        <v>74171859.8872462</v>
      </c>
      <c r="G57" s="110" t="n">
        <f aca="false">E57-F57</f>
        <v>266296928.047958</v>
      </c>
      <c r="H57" s="111" t="n">
        <f aca="false">IFERROR(E57/F57,0)</f>
        <v>4.59026898412382</v>
      </c>
      <c r="I57" s="112" t="str">
        <f aca="false">IF(E57&gt;=F57,"🏆 FREE!","Working...")</f>
        <v>🏆 FREE!</v>
      </c>
    </row>
    <row r="58" customFormat="false" ht="18" hidden="false" customHeight="true" outlineLevel="0" collapsed="false">
      <c r="A58" s="105" t="s">
        <v>357</v>
      </c>
      <c r="B58" s="105" t="n">
        <f aca="false">Profile!C4+50</f>
        <v>80</v>
      </c>
      <c r="C58" s="106" t="n">
        <f aca="false">Investments!B36*12</f>
        <v>336000</v>
      </c>
      <c r="D58" s="106" t="n">
        <f aca="false">D57*(1+IFERROR(Investments!E18,0.1))+C58</f>
        <v>372544542.705216</v>
      </c>
      <c r="E58" s="106" t="n">
        <f aca="false">D58</f>
        <v>372544542.705216</v>
      </c>
      <c r="F58" s="106" t="n">
        <f aca="false">Profile!C30</f>
        <v>74171859.8872462</v>
      </c>
      <c r="G58" s="106" t="n">
        <f aca="false">E58-F58</f>
        <v>298372682.81797</v>
      </c>
      <c r="H58" s="107" t="n">
        <f aca="false">IFERROR(E58/F58,0)</f>
        <v>5.0227207902235</v>
      </c>
      <c r="I58" s="113" t="str">
        <f aca="false">IF(E58&gt;=F58,"🏆 FREE!","Working...")</f>
        <v>🏆 FREE!</v>
      </c>
    </row>
    <row r="59" customFormat="false" ht="18" hidden="false" customHeight="true" outlineLevel="0" collapsed="false">
      <c r="A59" s="109" t="s">
        <v>358</v>
      </c>
      <c r="B59" s="109" t="n">
        <f aca="false">Profile!C4+51</f>
        <v>81</v>
      </c>
      <c r="C59" s="110" t="n">
        <f aca="false">Investments!B36*12</f>
        <v>336000</v>
      </c>
      <c r="D59" s="110" t="n">
        <f aca="false">D58*(1+IFERROR(Investments!E18,0.1))+C59</f>
        <v>407610517.508722</v>
      </c>
      <c r="E59" s="110" t="n">
        <f aca="false">D59</f>
        <v>407610517.508722</v>
      </c>
      <c r="F59" s="110" t="n">
        <f aca="false">Profile!C30</f>
        <v>74171859.8872462</v>
      </c>
      <c r="G59" s="110" t="n">
        <f aca="false">E59-F59</f>
        <v>333438657.621476</v>
      </c>
      <c r="H59" s="111" t="n">
        <f aca="false">IFERROR(E59/F59,0)</f>
        <v>5.49548734693129</v>
      </c>
      <c r="I59" s="112" t="str">
        <f aca="false">IF(E59&gt;=F59,"🏆 FREE!","Working...")</f>
        <v>🏆 FREE!</v>
      </c>
    </row>
    <row r="60" customFormat="false" ht="18" hidden="false" customHeight="true" outlineLevel="0" collapsed="false">
      <c r="A60" s="105" t="s">
        <v>359</v>
      </c>
      <c r="B60" s="105" t="n">
        <f aca="false">Profile!C4+52</f>
        <v>82</v>
      </c>
      <c r="C60" s="106" t="n">
        <f aca="false">Investments!B36*12</f>
        <v>336000</v>
      </c>
      <c r="D60" s="106" t="n">
        <f aca="false">D59*(1+IFERROR(Investments!E18,0.1))+C60</f>
        <v>445945471.673845</v>
      </c>
      <c r="E60" s="106" t="n">
        <f aca="false">D60</f>
        <v>445945471.673845</v>
      </c>
      <c r="F60" s="106" t="n">
        <f aca="false">Profile!C30</f>
        <v>74171859.8872462</v>
      </c>
      <c r="G60" s="106" t="n">
        <f aca="false">E60-F60</f>
        <v>371773611.786598</v>
      </c>
      <c r="H60" s="107" t="n">
        <f aca="false">IFERROR(E60/F60,0)</f>
        <v>6.01232694382691</v>
      </c>
      <c r="I60" s="113" t="str">
        <f aca="false">IF(E60&gt;=F60,"🏆 FREE!","Working...")</f>
        <v>🏆 FREE!</v>
      </c>
    </row>
    <row r="61" customFormat="false" ht="18" hidden="false" customHeight="true" outlineLevel="0" collapsed="false">
      <c r="A61" s="109" t="s">
        <v>360</v>
      </c>
      <c r="B61" s="109" t="n">
        <f aca="false">Profile!C4+53</f>
        <v>83</v>
      </c>
      <c r="C61" s="110" t="n">
        <f aca="false">Investments!B36*12</f>
        <v>336000</v>
      </c>
      <c r="D61" s="110" t="n">
        <f aca="false">D60*(1+IFERROR(Investments!E18,0.1))+C61</f>
        <v>487854151.500281</v>
      </c>
      <c r="E61" s="110" t="n">
        <f aca="false">D61</f>
        <v>487854151.500281</v>
      </c>
      <c r="F61" s="110" t="n">
        <f aca="false">Profile!C30</f>
        <v>74171859.8872462</v>
      </c>
      <c r="G61" s="110" t="n">
        <f aca="false">E61-F61</f>
        <v>413682291.613035</v>
      </c>
      <c r="H61" s="111" t="n">
        <f aca="false">IFERROR(E61/F61,0)</f>
        <v>6.57734823209101</v>
      </c>
      <c r="I61" s="112" t="str">
        <f aca="false">IF(E61&gt;=F61,"🏆 FREE!","Working...")</f>
        <v>🏆 FREE!</v>
      </c>
    </row>
    <row r="62" customFormat="false" ht="18" hidden="false" customHeight="true" outlineLevel="0" collapsed="false">
      <c r="A62" s="105" t="s">
        <v>361</v>
      </c>
      <c r="B62" s="105" t="n">
        <f aca="false">Profile!C4+54</f>
        <v>84</v>
      </c>
      <c r="C62" s="106" t="n">
        <f aca="false">Investments!B36*12</f>
        <v>336000</v>
      </c>
      <c r="D62" s="106" t="n">
        <f aca="false">D61*(1+IFERROR(Investments!E18,0.1))+C62</f>
        <v>533669712.860538</v>
      </c>
      <c r="E62" s="106" t="n">
        <f aca="false">D62</f>
        <v>533669712.860538</v>
      </c>
      <c r="F62" s="106" t="n">
        <f aca="false">Profile!C30</f>
        <v>74171859.8872462</v>
      </c>
      <c r="G62" s="106" t="n">
        <f aca="false">E62-F62</f>
        <v>459497852.973292</v>
      </c>
      <c r="H62" s="107" t="n">
        <f aca="false">IFERROR(E62/F62,0)</f>
        <v>7.19504288650448</v>
      </c>
      <c r="I62" s="113" t="str">
        <f aca="false">IF(E62&gt;=F62,"🏆 FREE!","Working...")</f>
        <v>🏆 FREE!</v>
      </c>
    </row>
    <row r="63" customFormat="false" ht="18" hidden="false" customHeight="true" outlineLevel="0" collapsed="false">
      <c r="A63" s="109" t="s">
        <v>362</v>
      </c>
      <c r="B63" s="109" t="n">
        <f aca="false">Profile!C4+55</f>
        <v>85</v>
      </c>
      <c r="C63" s="110" t="n">
        <f aca="false">Investments!B36*12</f>
        <v>336000</v>
      </c>
      <c r="D63" s="110" t="n">
        <f aca="false">D62*(1+IFERROR(Investments!E18,0.1))+C63</f>
        <v>583756369.644971</v>
      </c>
      <c r="E63" s="110" t="n">
        <f aca="false">D63</f>
        <v>583756369.644971</v>
      </c>
      <c r="F63" s="110" t="n">
        <f aca="false">Profile!C30</f>
        <v>74171859.8872462</v>
      </c>
      <c r="G63" s="110" t="n">
        <f aca="false">E63-F63</f>
        <v>509584509.757725</v>
      </c>
      <c r="H63" s="111" t="n">
        <f aca="false">IFERROR(E63/F63,0)</f>
        <v>7.87032131231951</v>
      </c>
      <c r="I63" s="112" t="str">
        <f aca="false">IF(E63&gt;=F63,"🏆 FREE!","Working...")</f>
        <v>🏆 FREE!</v>
      </c>
    </row>
    <row r="64" customFormat="false" ht="18" hidden="false" customHeight="true" outlineLevel="0" collapsed="false">
      <c r="A64" s="105" t="s">
        <v>363</v>
      </c>
      <c r="B64" s="105" t="n">
        <f aca="false">Profile!C4+56</f>
        <v>86</v>
      </c>
      <c r="C64" s="106" t="n">
        <f aca="false">Investments!B36*12</f>
        <v>336000</v>
      </c>
      <c r="D64" s="106" t="n">
        <f aca="false">D63*(1+IFERROR(Investments!E18,0.1))+C64</f>
        <v>638512289.104637</v>
      </c>
      <c r="E64" s="106" t="n">
        <f aca="false">D64</f>
        <v>638512289.104637</v>
      </c>
      <c r="F64" s="106" t="n">
        <f aca="false">Profile!C30</f>
        <v>74171859.8872462</v>
      </c>
      <c r="G64" s="106" t="n">
        <f aca="false">E64-F64</f>
        <v>564340429.217391</v>
      </c>
      <c r="H64" s="107" t="n">
        <f aca="false">IFERROR(E64/F64,0)</f>
        <v>8.60855168085691</v>
      </c>
      <c r="I64" s="113" t="str">
        <f aca="false">IF(E64&gt;=F64,"🏆 FREE!","Working...")</f>
        <v>🏆 FREE!</v>
      </c>
    </row>
    <row r="65" customFormat="false" ht="18" hidden="false" customHeight="true" outlineLevel="0" collapsed="false">
      <c r="A65" s="109" t="s">
        <v>364</v>
      </c>
      <c r="B65" s="109" t="n">
        <f aca="false">Profile!C4+57</f>
        <v>87</v>
      </c>
      <c r="C65" s="110" t="n">
        <f aca="false">Investments!B36*12</f>
        <v>336000</v>
      </c>
      <c r="D65" s="110" t="n">
        <f aca="false">D64*(1+IFERROR(Investments!E18,0.1))+C65</f>
        <v>698372757.108668</v>
      </c>
      <c r="E65" s="110" t="n">
        <f aca="false">D65</f>
        <v>698372757.108668</v>
      </c>
      <c r="F65" s="110" t="n">
        <f aca="false">Profile!C30</f>
        <v>74171859.8872462</v>
      </c>
      <c r="G65" s="110" t="n">
        <f aca="false">E65-F65</f>
        <v>624200897.221422</v>
      </c>
      <c r="H65" s="111" t="n">
        <f aca="false">IFERROR(E65/F65,0)</f>
        <v>9.41560260414546</v>
      </c>
      <c r="I65" s="112" t="str">
        <f aca="false">IF(E65&gt;=F65,"🏆 FREE!","Working...")</f>
        <v>🏆 FREE!</v>
      </c>
    </row>
    <row r="66" customFormat="false" ht="18" hidden="false" customHeight="true" outlineLevel="0" collapsed="false">
      <c r="A66" s="105" t="s">
        <v>365</v>
      </c>
      <c r="B66" s="105" t="n">
        <f aca="false">Profile!C4+58</f>
        <v>88</v>
      </c>
      <c r="C66" s="106" t="n">
        <f aca="false">Investments!B36*12</f>
        <v>336000</v>
      </c>
      <c r="D66" s="106" t="n">
        <f aca="false">D65*(1+IFERROR(Investments!E18,0.1))+C66</f>
        <v>763813638.478601</v>
      </c>
      <c r="E66" s="106" t="n">
        <f aca="false">D66</f>
        <v>763813638.478601</v>
      </c>
      <c r="F66" s="106" t="n">
        <f aca="false">Profile!C30</f>
        <v>74171859.8872462</v>
      </c>
      <c r="G66" s="106" t="n">
        <f aca="false">E66-F66</f>
        <v>689641778.591355</v>
      </c>
      <c r="H66" s="107" t="n">
        <f aca="false">IFERROR(E66/F66,0)</f>
        <v>10.2978897878485</v>
      </c>
      <c r="I66" s="113" t="str">
        <f aca="false">IF(E66&gt;=F66,"🏆 FREE!","Working...")</f>
        <v>🏆 FREE!</v>
      </c>
    </row>
    <row r="67" customFormat="false" ht="18" hidden="false" customHeight="true" outlineLevel="0" collapsed="false">
      <c r="A67" s="109" t="s">
        <v>366</v>
      </c>
      <c r="B67" s="109" t="n">
        <f aca="false">Profile!C4+59</f>
        <v>89</v>
      </c>
      <c r="C67" s="110" t="n">
        <f aca="false">Investments!B36*12</f>
        <v>336000</v>
      </c>
      <c r="D67" s="110" t="n">
        <f aca="false">D66*(1+IFERROR(Investments!E18,0.1))+C67</f>
        <v>835355159.907823</v>
      </c>
      <c r="E67" s="110" t="n">
        <f aca="false">D67</f>
        <v>835355159.907823</v>
      </c>
      <c r="F67" s="110" t="n">
        <f aca="false">Profile!C30</f>
        <v>74171859.8872462</v>
      </c>
      <c r="G67" s="110" t="n">
        <f aca="false">E67-F67</f>
        <v>761183300.020577</v>
      </c>
      <c r="H67" s="111" t="n">
        <f aca="false">IFERROR(E67/F67,0)</f>
        <v>11.262427033348</v>
      </c>
      <c r="I67" s="112" t="str">
        <f aca="false">IF(E67&gt;=F67,"🏆 FREE!","Working...")</f>
        <v>🏆 FREE!</v>
      </c>
    </row>
    <row r="68" customFormat="false" ht="18" hidden="false" customHeight="true" outlineLevel="0" collapsed="false">
      <c r="A68" s="105" t="s">
        <v>367</v>
      </c>
      <c r="B68" s="105" t="n">
        <f aca="false">Profile!C4+60</f>
        <v>90</v>
      </c>
      <c r="C68" s="106" t="n">
        <f aca="false">Investments!B36*12</f>
        <v>336000</v>
      </c>
      <c r="D68" s="106" t="n">
        <f aca="false">D67*(1+IFERROR(Investments!E18,0.1))+C68</f>
        <v>913566045.538704</v>
      </c>
      <c r="E68" s="106" t="n">
        <f aca="false">D68</f>
        <v>913566045.538704</v>
      </c>
      <c r="F68" s="106" t="n">
        <f aca="false">Profile!C30</f>
        <v>74171859.8872462</v>
      </c>
      <c r="G68" s="106" t="n">
        <f aca="false">E68-F68</f>
        <v>839394185.651457</v>
      </c>
      <c r="H68" s="107" t="n">
        <f aca="false">IFERROR(E68/F68,0)</f>
        <v>12.3168819944313</v>
      </c>
      <c r="I68" s="113" t="str">
        <f aca="false">IF(E68&gt;=F68,"🏆 FREE!","Working...")</f>
        <v>🏆 FREE!</v>
      </c>
    </row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</sheetData>
  <mergeCells count="2">
    <mergeCell ref="A1:I2"/>
    <mergeCell ref="A6:I6"/>
  </mergeCells>
  <conditionalFormatting sqref="H8:H68">
    <cfRule type="colorScale" priority="2">
      <colorScale>
        <cfvo type="num" val="0"/>
        <cfvo type="num" val="0.5"/>
        <cfvo type="num" val="1"/>
        <color rgb="FFFFCCCC"/>
        <color rgb="FFFFFFCC"/>
        <color rgb="FFCCFF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2026-06-02T17:38:24Z</dcterms:created>
  <dc:creator>openpyxl</dc:creator>
  <dc:description/>
  <dc:language>en-US</dc:language>
  <cp:lastModifiedBy/>
  <dcterms:modified xsi:type="dcterms:W3CDTF">2026-06-04T16:19:29Z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